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897b9d141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ae9029ee9894392"/>
    <x:sheet xmlns:r="http://schemas.openxmlformats.org/officeDocument/2006/relationships" name="Imported_Drug_List" sheetId="2" r:id="R92f08fc9555f4fc0"/>
    <x:sheet xmlns:r="http://schemas.openxmlformats.org/officeDocument/2006/relationships" name="Pregnancy_Physiology_Defaults" sheetId="3" r:id="R827639b4eb574281"/>
    <x:sheet xmlns:r="http://schemas.openxmlformats.org/officeDocument/2006/relationships" name="Drug_PBPK_Parameters" sheetId="4" r:id="R84d9cddf5006475d"/>
    <x:sheet xmlns:r="http://schemas.openxmlformats.org/officeDocument/2006/relationships" name="Literature_Status" sheetId="5" r:id="R1ab9eaa0d7b64e4e"/>
    <x:sheet xmlns:r="http://schemas.openxmlformats.org/officeDocument/2006/relationships" name="Scenario_Calculator" sheetId="6" r:id="R838baa4d001842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  <x:font>
      <x:color rgb="00008000"/>
    </x:font>
    <x:font>
      <x:color rgb="007030A0"/>
    </x:font>
    <x:font>
      <x:color rgb="00000000"/>
    </x:font>
    <x:font>
      <x:color rgb="00C55A11"/>
    </x:font>
    <x:font>
      <x:color rgb="000000FF"/>
    </x:font>
    <x:font>
      <x:color rgb="00666666"/>
    </x:font>
  </x:fonts>
  <x:fills count="10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E2F0D9"/>
      </x:patternFill>
    </x:fill>
    <x:fill>
      <x:patternFill patternType="solid">
        <x:fgColor rgb="00EDE7F6"/>
      </x:patternFill>
    </x:fill>
    <x:fill>
      <x:patternFill patternType="solid">
        <x:fgColor rgb="00FCE4D6"/>
      </x:patternFill>
    </x:fill>
    <x:fill>
      <x:patternFill patternType="solid">
        <x:fgColor rgb="00EAF2FF"/>
      </x:patternFill>
    </x:fill>
    <x:fill>
      <x:patternFill patternType="solid">
        <x:fgColor rgb="00F2F2F2"/>
      </x:patternFill>
    </x:fill>
    <x:fill>
      <x:patternFill patternType="solid">
        <x:fgColor rgb="00FFFFFF"/>
      </x:patternFill>
    </x:fill>
  </x:fills>
  <x:borders count="2">
    <x:border>
      <x:left/>
      <x:right/>
      <x:top/>
      <x:bottom/>
      <x:diagonal/>
    </x:border>
    <x:border>
      <x:bottom style="thin">
        <x:color rgb="00C9D2E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2" borderId="1" xfId="0" applyAlignment="1">
      <x:alignment horizontal="left" vertical="center" wrapText="1"/>
    </x:xf>
    <x:xf numFmtId="0" fontId="2" fillId="3" borderId="1" xfId="0" applyAlignment="1">
      <x:alignment horizontal="left" vertical="center" wrapText="1"/>
    </x:xf>
    <x:xf numFmtId="0" fontId="0" fillId="0" borderId="1" xfId="0" applyAlignment="1">
      <x:alignment horizontal="left" vertical="center" wrapText="1"/>
    </x:xf>
    <x:xf numFmtId="0" fontId="1" fillId="2" borderId="1" xfId="0" applyAlignment="1">
      <x:alignment horizontal="center" vertical="center" wrapText="1"/>
    </x:xf>
    <x:xf numFmtId="0" fontId="3" fillId="4" borderId="0" xfId="0"/>
    <x:xf numFmtId="0" fontId="0" fillId="0" borderId="1" xfId="0" applyAlignment="1">
      <x:alignment horizontal="center" vertical="center" wrapText="1"/>
    </x:xf>
    <x:xf numFmtId="2" fontId="4" fillId="5" borderId="1" xfId="0" applyAlignment="1">
      <x:alignment horizontal="center" vertical="center" wrapText="1"/>
    </x:xf>
    <x:xf numFmtId="2" fontId="4" fillId="5" borderId="1" xfId="0" applyAlignment="1">
      <x:alignment horizontal="left" vertical="center" wrapText="1"/>
    </x:xf>
    <x:xf numFmtId="0" fontId="4" fillId="5" borderId="1" xfId="0" applyAlignment="1">
      <x:alignment horizontal="center" vertical="center" wrapText="1"/>
    </x:xf>
    <x:xf numFmtId="0" fontId="5" fillId="6" borderId="1" xfId="0" applyAlignment="1">
      <x:alignment horizontal="center" vertical="center" wrapText="1"/>
    </x:xf>
    <x:xf numFmtId="0" fontId="6" fillId="6" borderId="1" xfId="0" applyAlignment="1">
      <x:alignment horizontal="center" vertical="center" wrapText="1"/>
    </x:xf>
    <x:xf numFmtId="0" fontId="6" fillId="6" borderId="1" xfId="0" applyAlignment="1">
      <x:alignment horizontal="left" vertical="center" wrapText="1"/>
    </x:xf>
    <x:xf numFmtId="0" fontId="5" fillId="6" borderId="1" xfId="0" applyAlignment="1">
      <x:alignment horizontal="left" vertical="center" wrapText="1"/>
    </x:xf>
    <x:xf numFmtId="2" fontId="5" fillId="7" borderId="1" xfId="0" applyAlignment="1">
      <x:alignment horizontal="center" vertical="center" wrapText="1"/>
    </x:xf>
    <x:xf numFmtId="2" fontId="7" fillId="7" borderId="1" xfId="0" applyAlignment="1">
      <x:alignment horizontal="center" vertical="center" wrapText="1"/>
    </x:xf>
    <x:xf numFmtId="0" fontId="5" fillId="7" borderId="1" xfId="0" applyAlignment="1">
      <x:alignment horizontal="center" vertical="center" wrapText="1"/>
    </x:xf>
    <x:xf numFmtId="0" fontId="3" fillId="4" borderId="1" xfId="0" applyAlignment="1">
      <x:alignment horizontal="center" vertical="center" wrapText="1"/>
    </x:xf>
    <x:xf numFmtId="0" fontId="3" fillId="4" borderId="1" xfId="0" applyAlignment="1">
      <x:alignment horizontal="left" vertical="center" wrapText="1"/>
    </x:xf>
    <x:xf numFmtId="0" fontId="6" fillId="8" borderId="1" xfId="0" applyAlignment="1">
      <x:alignment horizontal="center" vertical="center" wrapText="1"/>
    </x:xf>
    <x:xf numFmtId="2" fontId="8" fillId="8" borderId="1" xfId="0" applyAlignment="1">
      <x:alignment horizontal="center" vertical="center" wrapText="1"/>
    </x:xf>
    <x:xf numFmtId="2" fontId="5" fillId="9" borderId="1" xfId="0" applyAlignment="1">
      <x:alignment horizontal="center" vertical="center" wrapText="1"/>
    </x:xf>
    <x:xf numFmtId="0" fontId="5" fillId="9" borderId="1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3809259f849d5" /><Relationship Type="http://schemas.openxmlformats.org/officeDocument/2006/relationships/theme" Target="/xl/theme/theme1.xml" Id="R2eae7a3fbaa64bd3" /><Relationship Type="http://schemas.openxmlformats.org/officeDocument/2006/relationships/sharedStrings" Target="/xl/sharedStrings.xml" Id="Re091c48a51474b3e" /><Relationship Type="http://schemas.openxmlformats.org/officeDocument/2006/relationships/worksheet" Target="/xl/worksheets/sheet1.xml" Id="R7ae9029ee9894392" /><Relationship Type="http://schemas.openxmlformats.org/officeDocument/2006/relationships/worksheet" Target="/xl/worksheets/sheet2.xml" Id="R92f08fc9555f4fc0" /><Relationship Type="http://schemas.openxmlformats.org/officeDocument/2006/relationships/worksheet" Target="/xl/worksheets/sheet3.xml" Id="R827639b4eb574281" /><Relationship Type="http://schemas.openxmlformats.org/officeDocument/2006/relationships/worksheet" Target="/xl/worksheets/sheet4.xml" Id="R84d9cddf5006475d" /><Relationship Type="http://schemas.openxmlformats.org/officeDocument/2006/relationships/worksheet" Target="/xl/worksheets/sheet5.xml" Id="R1ab9eaa0d7b64e4e" /><Relationship Type="http://schemas.openxmlformats.org/officeDocument/2006/relationships/worksheet" Target="/xl/worksheets/sheet6.xml" Id="R838baa4d001842c0" /></Relationships>
</file>

<file path=xl/tables/table1.xml><?xml version="1.0" encoding="utf-8"?>
<x:table xmlns:x="http://schemas.openxmlformats.org/spreadsheetml/2006/main" id="1" name="ImportedDrugList" displayName="ImportedDrugList" ref="A1:A17" headerRowCount="1">
  <x:autoFilter ref="A1:A17"/>
  <x:tableColumns count="1">
    <x:tableColumn id="1" name="Drug names"/>
  </x:tableColumns>
  <x:tableStyleInfo name="TableStyleMedium2" showRowStripes="1"/>
</x:table>
</file>

<file path=xl/tables/table2.xml><?xml version="1.0" encoding="utf-8"?>
<x:table xmlns:x="http://schemas.openxmlformats.org/spreadsheetml/2006/main" id="2" name="PregPhysDefaults" displayName="PregPhysDefaults" ref="A1:L4" headerRowCount="1">
  <x:autoFilter ref="A1:L4"/>
  <x:tableColumns count="12">
    <x:tableColumn id="1" name="Trimester"/>
    <x:tableColumn id="2" name="Gestational_week_midpoint"/>
    <x:tableColumn id="3" name="Body_weight_kg"/>
    <x:tableColumn id="4" name="Cardiac_output_multiplier"/>
    <x:tableColumn id="5" name="Plasma_volume_multiplier"/>
    <x:tableColumn id="6" name="Albumin_multiplier"/>
    <x:tableColumn id="7" name="GFR_multiplier"/>
    <x:tableColumn id="8" name="Hepatic_clearance_multiplier"/>
    <x:tableColumn id="9" name="Placental_transfer_multiplier"/>
    <x:tableColumn id="10" name="Fetal_weight_kg"/>
    <x:tableColumn id="11" name="Notes"/>
    <x:tableColumn id="12" name="Source_URL"/>
  </x:tableColumns>
  <x:tableStyleInfo name="TableStyleMedium2" showRowStripes="1"/>
</x:table>
</file>

<file path=xl/tables/table3.xml><?xml version="1.0" encoding="utf-8"?>
<x:table xmlns:x="http://schemas.openxmlformats.org/spreadsheetml/2006/main" id="3" name="DrugPBPKParams" displayName="DrugPBPKParams" ref="A1:AD17" headerRowCount="1">
  <x:autoFilter ref="A1:AD17"/>
  <x:tableColumns count="30">
    <x:tableColumn id="1" name="Drug_ID"/>
    <x:tableColumn id="2" name="Drug_name"/>
    <x:tableColumn id="3" name="Model_status"/>
    <x:tableColumn id="4" name="Evidence_level"/>
    <x:tableColumn id="5" name="Literature_status_note"/>
    <x:tableColumn id="6" name="Literature_source_URL"/>
    <x:tableColumn id="7" name="Prototype_default_dose_mg_day"/>
    <x:tableColumn id="8" name="Clinician_input_dose_mg_day"/>
    <x:tableColumn id="9" name="Route"/>
    <x:tableColumn id="10" name="Bioavailability_F"/>
    <x:tableColumn id="11" name="ka_hr^-1"/>
    <x:tableColumn id="12" name="CL_nonpreg_L_hr"/>
    <x:tableColumn id="13" name="Vc_nonpreg_L"/>
    <x:tableColumn id="14" name="fu_plasma"/>
    <x:tableColumn id="15" name="Blood_to_plasma_ratio"/>
    <x:tableColumn id="16" name="Molecular_weight_g_mol"/>
    <x:tableColumn id="17" name="logP"/>
    <x:tableColumn id="18" name="pKa"/>
    <x:tableColumn id="19" name="Renal_clearance_fraction"/>
    <x:tableColumn id="20" name="Hepatic_clearance_fraction"/>
    <x:tableColumn id="21" name="Protein_binding_sensitivity"/>
    <x:tableColumn id="22" name="Placental_transfer_factor"/>
    <x:tableColumn id="23" name="Fetal_accumulation_factor"/>
    <x:tableColumn id="24" name="Fetal_tissue_Kp"/>
    <x:tableColumn id="25" name="Prototype_fetal_toxicity_threshold_mg_L"/>
    <x:tableColumn id="26" name="DART_signal"/>
    <x:tableColumn id="27" name="DART_confidence"/>
    <x:tableColumn id="28" name="DART_primary_source_URL"/>
    <x:tableColumn id="29" name="Parameter_source_type"/>
    <x:tableColumn id="3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LiteratureStatus" displayName="LiteratureStatus" ref="A1:F17" headerRowCount="1">
  <x:autoFilter ref="A1:F17"/>
  <x:tableColumns count="6">
    <x:tableColumn id="1" name="Drug_name"/>
    <x:tableColumn id="2" name="Status_bucket"/>
    <x:tableColumn id="3" name="Pregnancy_PBPK_or_PK_summary"/>
    <x:tableColumn id="4" name="Key_quantitative_note"/>
    <x:tableColumn id="5" name="Primary_reference_URL"/>
    <x:tableColumn id="6" name="Secondary_reference_URL"/>
  </x:tableColumns>
  <x:tableStyleInfo name="TableStyleMedium2" showRowStripes="1"/>
</x:table>
</file>

<file path=xl/tables/table5.xml><?xml version="1.0" encoding="utf-8"?>
<x:table xmlns:x="http://schemas.openxmlformats.org/spreadsheetml/2006/main" id="5" name="ScenarioCalc" displayName="ScenarioCalc" ref="A1:AE49" headerRowCount="1">
  <x:autoFilter ref="A1:AE49"/>
  <x:tableColumns count="31">
    <x:tableColumn id="1" name="Drug_ID"/>
    <x:tableColumn id="2" name="Drug_name"/>
    <x:tableColumn id="3" name="Trimester"/>
    <x:tableColumn id="4" name="Dose_used_mg_day"/>
    <x:tableColumn id="5" name="Bioavailability_F"/>
    <x:tableColumn id="6" name="CL_nonpreg_L_hr"/>
    <x:tableColumn id="7" name="Vc_nonpreg_L"/>
    <x:tableColumn id="8" name="Renal_fraction"/>
    <x:tableColumn id="9" name="Hepatic_fraction"/>
    <x:tableColumn id="10" name="Protein_binding_sensitivity"/>
    <x:tableColumn id="11" name="fu_plasma"/>
    <x:tableColumn id="12" name="Placental_transfer_factor"/>
    <x:tableColumn id="13" name="Fetal_accumulation_factor"/>
    <x:tableColumn id="14" name="Fetal_tissue_Kp"/>
    <x:tableColumn id="15" name="GFR_multiplier"/>
    <x:tableColumn id="16" name="Hepatic_multiplier"/>
    <x:tableColumn id="17" name="Plasma_volume_multiplier"/>
    <x:tableColumn id="18" name="Albumin_multiplier"/>
    <x:tableColumn id="19" name="Placental_multiplier"/>
    <x:tableColumn id="20" name="CL_preg_L_hr"/>
    <x:tableColumn id="21" name="Vd_preg_L"/>
    <x:tableColumn id="22" name="Maternal_AUC24_mg*h_L"/>
    <x:tableColumn id="23" name="Maternal_Cavg_mg_L"/>
    <x:tableColumn id="24" name="Maternal_unbound_Cavg_mg_L"/>
    <x:tableColumn id="25" name="Fetal_plasma_Cavg_mg_L"/>
    <x:tableColumn id="26" name="Fetal_tissue_Cavg_mg_L"/>
    <x:tableColumn id="27" name="Prototype_fetal_toxicity_threshold_mg_L"/>
    <x:tableColumn id="28" name="Exposure_flag"/>
    <x:tableColumn id="29" name="Model_status"/>
    <x:tableColumn id="30" name="DART_signal"/>
    <x:tableColumn id="31" name="Reference_URL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1a60b747f943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11586a4f7245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2ff22725fb43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6a8472a7354f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6acde8fbef437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30" customWidth="1"/>
  </x:cols>
  <x:sheetData>
    <x:row r="1">
      <x:c r="A1" s="1" t="inlineStr">
        <x:is>
          <x:t xml:space="preserve">Pregnancy PBPK prototype workbook for AI/app development</x:t>
        </x:is>
      </x:c>
      <x:c r="B1" s="1" t="inlineStr">
        <x:is>
          <x:t xml:space="preserve"/>
        </x:is>
      </x:c>
    </x:row>
    <x:row r="2">
      <x:c r="A2" s="2" t="inlineStr">
        <x:is>
          <x:t xml:space="preserve">Purpose</x:t>
        </x:is>
      </x:c>
      <x:c r="B2" s="3" t="inlineStr">
        <x:is>
          <x:t xml:space="preserve">This workbook is a prototype scaffold for a clinician-facing pregnancy PBPK and fetal exposure application. It combines dummy model parameters with a few literature-informed flags where pregnancy PBPK or pregnancy PK has been reported.</x:t>
        </x:is>
      </x:c>
    </x:row>
    <x:row r="3">
      <x:c r="A3" s="2" t="inlineStr">
        <x:is>
          <x:t xml:space="preserve">Critical caution</x:t>
        </x:is>
      </x:c>
      <x:c r="B3" s="3" t="inlineStr">
        <x:is>
          <x:t xml:space="preserve">This file is NOT for clinical care, prescribing, or regulatory submission as-is. Many rows are synthetic placeholders to help app/database development and should be replaced with curated drug-specific inputs before any real-world use.</x:t>
        </x:is>
      </x:c>
    </x:row>
    <x:row r="4">
      <x:c r="A4" s="2" t="inlineStr">
        <x:is>
          <x:t xml:space="preserve">How to use</x:t>
        </x:is>
      </x:c>
      <x:c r="B4" s="3" t="inlineStr">
        <x:is>
          <x:t xml:space="preserve">Edit clinician-facing dose inputs in Drug_PBPK_Parameters or Scenario_Calculator. Review literature status in Literature_Status. Scenario_Calculator will auto-estimate maternal and fetal exposure metrics using simple prototype formulas.</x:t>
        </x:is>
      </x:c>
    </x:row>
    <x:row r="5">
      <x:c r="A5" s="2" t="inlineStr">
        <x:is>
          <x:t xml:space="preserve">Coding conventions</x:t>
        </x:is>
      </x:c>
      <x:c r="B5" s="3" t="inlineStr">
        <x:is>
          <x:t xml:space="preserve">Input/user-editable cells are blue. Imported/reference values are green. Calculated cells are black. Controls/logic are purple. Review/caution text is orange.</x:t>
        </x:is>
      </x:c>
    </x:row>
    <x:row r="6">
      <x:c r="A6" s="2" t="inlineStr">
        <x:is>
          <x:t xml:space="preserve">Triaging literature</x:t>
        </x:is>
      </x:c>
      <x:c r="B6" s="3" t="inlineStr">
        <x:is>
          <x:t xml:space="preserve">Status values: Pregnancy PBPK available; Observed pregnancy popPK available; Developmental tox PK/IVIVE only; No dedicated pregnancy PBPK identified in quick screen.</x:t>
        </x:is>
      </x:c>
    </x:row>
    <x:row r="7">
      <x:c r="A7" s="2" t="inlineStr">
        <x:is>
          <x:t xml:space="preserve">Derived formula logic</x:t>
        </x:is>
      </x:c>
      <x:c r="B7" s="3" t="inlineStr">
        <x:is>
          <x:t xml:space="preserve">Pregnancy clearance = nonpregnancy clearance × weighted gestational multipliers. Maternal AUC24 = Dose × F / CLpreg. Maternal Cavg = AUC24 / 24. Fetal plasma Cavg = maternal unbound Cavg × placental transfer × trimester placental factor × fetal accumulation factor. Fetal tissue Cavg = fetal plasma Cavg × fetal tissue Kp.</x:t>
        </x:is>
      </x:c>
    </x:row>
    <x:row r="8">
      <x:c r="A8" s="2" t="inlineStr">
        <x:is>
          <x:t xml:space="preserve">Source note</x:t>
        </x:is>
      </x:c>
      <x:c r="B8" s="3" t="inlineStr">
        <x:is>
          <x:t xml:space="preserve">Source URLs are stored as plain text in the workbook so they can be parsed by downstream pipelines.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0" customWidth="1"/>
  </x:cols>
  <x:sheetData>
    <x:row r="1">
      <x:c r="A1" s="4" t="inlineStr">
        <x:is>
          <x:t xml:space="preserve">Drug names</x:t>
        </x:is>
      </x:c>
    </x:row>
    <x:row r="2">
      <x:c r="A2" s="5" t="inlineStr">
        <x:is>
          <x:t xml:space="preserve">Anastrozole</x:t>
        </x:is>
      </x:c>
    </x:row>
    <x:row r="3">
      <x:c r="A3" s="5" t="inlineStr">
        <x:is>
          <x:t xml:space="preserve">Aspirin</x:t>
        </x:is>
      </x:c>
    </x:row>
    <x:row r="4">
      <x:c r="A4" s="5" t="inlineStr">
        <x:is>
          <x:t xml:space="preserve">Azithromycin</x:t>
        </x:is>
      </x:c>
    </x:row>
    <x:row r="5">
      <x:c r="A5" s="5" t="inlineStr">
        <x:is>
          <x:t xml:space="preserve">Cladribine</x:t>
        </x:is>
      </x:c>
    </x:row>
    <x:row r="6">
      <x:c r="A6" s="5" t="inlineStr">
        <x:is>
          <x:t xml:space="preserve">Epicatechin</x:t>
        </x:is>
      </x:c>
    </x:row>
    <x:row r="7">
      <x:c r="A7" s="5" t="inlineStr">
        <x:is>
          <x:t xml:space="preserve">Exemestane</x:t>
        </x:is>
      </x:c>
    </x:row>
    <x:row r="8">
      <x:c r="A8" s="5" t="inlineStr">
        <x:is>
          <x:t xml:space="preserve">Fluorouracil</x:t>
        </x:is>
      </x:c>
    </x:row>
    <x:row r="9">
      <x:c r="A9" s="5" t="inlineStr">
        <x:is>
          <x:t xml:space="preserve">Indomethacin</x:t>
        </x:is>
      </x:c>
    </x:row>
    <x:row r="10">
      <x:c r="A10" s="5" t="inlineStr">
        <x:is>
          <x:t xml:space="preserve">Leflunomide</x:t>
        </x:is>
      </x:c>
    </x:row>
    <x:row r="11">
      <x:c r="A11" s="5" t="inlineStr">
        <x:is>
          <x:t xml:space="preserve">Letrozole</x:t>
        </x:is>
      </x:c>
    </x:row>
    <x:row r="12">
      <x:c r="A12" s="5" t="inlineStr">
        <x:is>
          <x:t xml:space="preserve">Olaparib</x:t>
        </x:is>
      </x:c>
    </x:row>
    <x:row r="13">
      <x:c r="A13" s="5" t="inlineStr">
        <x:is>
          <x:t xml:space="preserve">Osthole</x:t>
        </x:is>
      </x:c>
    </x:row>
    <x:row r="14">
      <x:c r="A14" s="5" t="inlineStr">
        <x:is>
          <x:t xml:space="preserve">Pravastatin</x:t>
        </x:is>
      </x:c>
    </x:row>
    <x:row r="15">
      <x:c r="A15" s="5" t="inlineStr">
        <x:is>
          <x:t xml:space="preserve">Temozolomide</x:t>
        </x:is>
      </x:c>
    </x:row>
    <x:row r="16">
      <x:c r="A16" s="5" t="inlineStr">
        <x:is>
          <x:t xml:space="preserve">Thalidomide</x:t>
        </x:is>
      </x:c>
    </x:row>
    <x:row r="17">
      <x:c r="A17" s="5" t="inlineStr">
        <x:is>
          <x:t xml:space="preserve">Valproic Acid sodium salt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61a60b747f94303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8" customWidth="1"/>
    <x:col min="3" max="3" width="14" customWidth="1"/>
    <x:col min="4" max="4" width="22" customWidth="1"/>
    <x:col min="5" max="5" width="22" customWidth="1"/>
    <x:col min="6" max="6" width="18" customWidth="1"/>
    <x:col min="7" max="7" width="14" customWidth="1"/>
    <x:col min="8" max="8" width="28" customWidth="1"/>
    <x:col min="9" max="9" width="28" customWidth="1"/>
    <x:col min="10" max="10" width="14" customWidth="1"/>
    <x:col min="11" max="11" width="65" customWidth="1"/>
    <x:col min="12" max="12" width="80" customWidth="1"/>
  </x:cols>
  <x:sheetData>
    <x:row r="1">
      <x:c r="A1" s="4" t="inlineStr">
        <x:is>
          <x:t xml:space="preserve">Trimester</x:t>
        </x:is>
      </x:c>
      <x:c r="B1" s="4" t="inlineStr">
        <x:is>
          <x:t xml:space="preserve">Gestational_week_midpoint</x:t>
        </x:is>
      </x:c>
      <x:c r="C1" s="4" t="inlineStr">
        <x:is>
          <x:t xml:space="preserve">Body_weight_kg</x:t>
        </x:is>
      </x:c>
      <x:c r="D1" s="4" t="inlineStr">
        <x:is>
          <x:t xml:space="preserve">Cardiac_output_multiplier</x:t>
        </x:is>
      </x:c>
      <x:c r="E1" s="4" t="inlineStr">
        <x:is>
          <x:t xml:space="preserve">Plasma_volume_multiplier</x:t>
        </x:is>
      </x:c>
      <x:c r="F1" s="4" t="inlineStr">
        <x:is>
          <x:t xml:space="preserve">Albumin_multiplier</x:t>
        </x:is>
      </x:c>
      <x:c r="G1" s="4" t="inlineStr">
        <x:is>
          <x:t xml:space="preserve">GFR_multiplier</x:t>
        </x:is>
      </x:c>
      <x:c r="H1" s="4" t="inlineStr">
        <x:is>
          <x:t xml:space="preserve">Hepatic_clearance_multiplier</x:t>
        </x:is>
      </x:c>
      <x:c r="I1" s="4" t="inlineStr">
        <x:is>
          <x:t xml:space="preserve">Placental_transfer_multiplier</x:t>
        </x:is>
      </x:c>
      <x:c r="J1" s="4" t="inlineStr">
        <x:is>
          <x:t xml:space="preserve">Fetal_weight_kg</x:t>
        </x:is>
      </x:c>
      <x:c r="K1" s="4" t="inlineStr">
        <x:is>
          <x:t xml:space="preserve">Notes</x:t>
        </x:is>
      </x:c>
      <x:c r="L1" s="4" t="inlineStr">
        <x:is>
          <x:t xml:space="preserve">Source_URL</x:t>
        </x:is>
      </x:c>
    </x:row>
    <x:row r="2">
      <x:c r="A2" s="6" t="inlineStr">
        <x:is>
          <x:t xml:space="preserve">T1</x:t>
        </x:is>
      </x:c>
      <x:c r="B2" s="7" t="n">
        <x:v>12</x:v>
      </x:c>
      <x:c r="C2" s="7" t="n">
        <x:v>71</x:v>
      </x:c>
      <x:c r="D2" s="7" t="n">
        <x:v>1.2</x:v>
      </x:c>
      <x:c r="E2" s="7" t="n">
        <x:v>1.15</x:v>
      </x:c>
      <x:c r="F2" s="7" t="n">
        <x:v>0.9</x:v>
      </x:c>
      <x:c r="G2" s="7" t="n">
        <x:v>1.3</x:v>
      </x:c>
      <x:c r="H2" s="7" t="n">
        <x:v>1.05</x:v>
      </x:c>
      <x:c r="I2" s="7" t="n">
        <x:v>0.5</x:v>
      </x:c>
      <x:c r="J2" s="8" t="n">
        <x:v>0.05</x:v>
      </x:c>
      <x:c r="K2" s="3" t="inlineStr">
        <x:is>
          <x:t xml:space="preserve">Prototype trimester defaults using realistic pregnancy-PBPK style physiology; replace with curated values when finalizing model.</x:t>
        </x:is>
      </x:c>
      <x:c r="L2" s="3" t="inlineStr">
        <x:is>
          <x:t xml:space="preserve">https://pmc.ncbi.nlm.nih.gov/articles/PMC5824116 ; https://pmc.ncbi.nlm.nih.gov/articles/PMC9174343 ; https://pmc.ncbi.nlm.nih.gov/articles/PMC3787241</x:t>
        </x:is>
      </x:c>
    </x:row>
    <x:row r="3">
      <x:c r="A3" s="6" t="inlineStr">
        <x:is>
          <x:t xml:space="preserve">T2</x:t>
        </x:is>
      </x:c>
      <x:c r="B3" s="7" t="n">
        <x:v>24</x:v>
      </x:c>
      <x:c r="C3" s="7" t="n">
        <x:v>79</x:v>
      </x:c>
      <x:c r="D3" s="7" t="n">
        <x:v>1.35</x:v>
      </x:c>
      <x:c r="E3" s="7" t="n">
        <x:v>1.35</x:v>
      </x:c>
      <x:c r="F3" s="7" t="n">
        <x:v>0.8</x:v>
      </x:c>
      <x:c r="G3" s="7" t="n">
        <x:v>1.45</x:v>
      </x:c>
      <x:c r="H3" s="7" t="n">
        <x:v>1.1</x:v>
      </x:c>
      <x:c r="I3" s="7" t="n">
        <x:v>0.8</x:v>
      </x:c>
      <x:c r="J3" s="8" t="n">
        <x:v>0.9</x:v>
      </x:c>
      <x:c r="K3" s="3" t="inlineStr">
        <x:is>
          <x:t xml:space="preserve">Cardiac output, plasma volume, and GFR rise during pregnancy; albumin decreases.</x:t>
        </x:is>
      </x:c>
      <x:c r="L3" s="3" t="inlineStr">
        <x:is>
          <x:t xml:space="preserve">https://pmc.ncbi.nlm.nih.gov/articles/PMC5824116 ; https://pmc.ncbi.nlm.nih.gov/articles/PMC9174343 ; https://pmc.ncbi.nlm.nih.gov/articles/PMC3787241</x:t>
        </x:is>
      </x:c>
    </x:row>
    <x:row r="4">
      <x:c r="A4" s="6" t="inlineStr">
        <x:is>
          <x:t xml:space="preserve">T3</x:t>
        </x:is>
      </x:c>
      <x:c r="B4" s="7" t="n">
        <x:v>36</x:v>
      </x:c>
      <x:c r="C4" s="7" t="n">
        <x:v>86</x:v>
      </x:c>
      <x:c r="D4" s="7" t="n">
        <x:v>1.45</x:v>
      </x:c>
      <x:c r="E4" s="7" t="n">
        <x:v>1.5</x:v>
      </x:c>
      <x:c r="F4" s="7" t="n">
        <x:v>0.7</x:v>
      </x:c>
      <x:c r="G4" s="7" t="n">
        <x:v>1.5</x:v>
      </x:c>
      <x:c r="H4" s="7" t="n">
        <x:v>1.15</x:v>
      </x:c>
      <x:c r="I4" s="7" t="n">
        <x:v>1</x:v>
      </x:c>
      <x:c r="J4" s="8" t="n">
        <x:v>3.2</x:v>
      </x:c>
      <x:c r="K4" s="3" t="inlineStr">
        <x:is>
          <x:t xml:space="preserve">Late gestation placeholder physiology used for scenario calculations.</x:t>
        </x:is>
      </x:c>
      <x:c r="L4" s="3" t="inlineStr">
        <x:is>
          <x:t xml:space="preserve">https://pmc.ncbi.nlm.nih.gov/articles/PMC5824116 ; https://pmc.ncbi.nlm.nih.gov/articles/PMC9174343 ; https://pmc.ncbi.nlm.nih.gov/articles/PMC3787241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d11586a4f72452a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4" customWidth="1"/>
    <x:col min="3" max="3" width="34" customWidth="1"/>
    <x:col min="4" max="4" width="14" customWidth="1"/>
    <x:col min="5" max="5" width="45" customWidth="1"/>
    <x:col min="6" max="6" width="70" customWidth="1"/>
    <x:col min="7" max="7" width="22" customWidth="1"/>
    <x:col min="8" max="8" width="22" customWidth="1"/>
    <x:col min="9" max="9" width="14" customWidth="1"/>
    <x:col min="10" max="10" width="14" customWidth="1"/>
    <x:col min="11" max="11" width="10" customWidth="1"/>
    <x:col min="12" max="12" width="16" customWidth="1"/>
    <x:col min="13" max="13" width="14" customWidth="1"/>
    <x:col min="14" max="14" width="12" customWidth="1"/>
    <x:col min="15" max="15" width="16" customWidth="1"/>
    <x:col min="16" max="16" width="18" customWidth="1"/>
    <x:col min="17" max="17" width="10" customWidth="1"/>
    <x:col min="18" max="18" width="8" customWidth="1"/>
    <x:col min="19" max="19" width="18" customWidth="1"/>
    <x:col min="20" max="20" width="20" customWidth="1"/>
    <x:col min="21" max="21" width="22" customWidth="1"/>
    <x:col min="22" max="22" width="18" customWidth="1"/>
    <x:col min="23" max="23" width="18" customWidth="1"/>
    <x:col min="24" max="24" width="14" customWidth="1"/>
    <x:col min="25" max="25" width="28" customWidth="1"/>
    <x:col min="26" max="26" width="12" customWidth="1"/>
    <x:col min="27" max="27" width="14" customWidth="1"/>
    <x:col min="28" max="28" width="50" customWidth="1"/>
    <x:col min="29" max="29" width="22" customWidth="1"/>
    <x:col min="30" max="30" width="65" customWidth="1"/>
  </x:cols>
  <x:sheetData>
    <x:row r="1">
      <x:c r="A1" s="4" t="inlineStr">
        <x:is>
          <x:t xml:space="preserve">Drug_ID</x:t>
        </x:is>
      </x:c>
      <x:c r="B1" s="4" t="inlineStr">
        <x:is>
          <x:t xml:space="preserve">Drug_name</x:t>
        </x:is>
      </x:c>
      <x:c r="C1" s="4" t="inlineStr">
        <x:is>
          <x:t xml:space="preserve">Model_status</x:t>
        </x:is>
      </x:c>
      <x:c r="D1" s="4" t="inlineStr">
        <x:is>
          <x:t xml:space="preserve">Evidence_level</x:t>
        </x:is>
      </x:c>
      <x:c r="E1" s="4" t="inlineStr">
        <x:is>
          <x:t xml:space="preserve">Literature_status_note</x:t>
        </x:is>
      </x:c>
      <x:c r="F1" s="4" t="inlineStr">
        <x:is>
          <x:t xml:space="preserve">Literature_source_URL</x:t>
        </x:is>
      </x:c>
      <x:c r="G1" s="4" t="inlineStr">
        <x:is>
          <x:t xml:space="preserve">Prototype_default_dose_mg_day</x:t>
        </x:is>
      </x:c>
      <x:c r="H1" s="4" t="inlineStr">
        <x:is>
          <x:t xml:space="preserve">Clinician_input_dose_mg_day</x:t>
        </x:is>
      </x:c>
      <x:c r="I1" s="4" t="inlineStr">
        <x:is>
          <x:t xml:space="preserve">Route</x:t>
        </x:is>
      </x:c>
      <x:c r="J1" s="4" t="inlineStr">
        <x:is>
          <x:t xml:space="preserve">Bioavailability_F</x:t>
        </x:is>
      </x:c>
      <x:c r="K1" s="4" t="inlineStr">
        <x:is>
          <x:t xml:space="preserve">ka_hr^-1</x:t>
        </x:is>
      </x:c>
      <x:c r="L1" s="4" t="inlineStr">
        <x:is>
          <x:t xml:space="preserve">CL_nonpreg_L_hr</x:t>
        </x:is>
      </x:c>
      <x:c r="M1" s="4" t="inlineStr">
        <x:is>
          <x:t xml:space="preserve">Vc_nonpreg_L</x:t>
        </x:is>
      </x:c>
      <x:c r="N1" s="4" t="inlineStr">
        <x:is>
          <x:t xml:space="preserve">fu_plasma</x:t>
        </x:is>
      </x:c>
      <x:c r="O1" s="4" t="inlineStr">
        <x:is>
          <x:t xml:space="preserve">Blood_to_plasma_ratio</x:t>
        </x:is>
      </x:c>
      <x:c r="P1" s="4" t="inlineStr">
        <x:is>
          <x:t xml:space="preserve">Molecular_weight_g_mol</x:t>
        </x:is>
      </x:c>
      <x:c r="Q1" s="4" t="inlineStr">
        <x:is>
          <x:t xml:space="preserve">logP</x:t>
        </x:is>
      </x:c>
      <x:c r="R1" s="4" t="inlineStr">
        <x:is>
          <x:t xml:space="preserve">pKa</x:t>
        </x:is>
      </x:c>
      <x:c r="S1" s="4" t="inlineStr">
        <x:is>
          <x:t xml:space="preserve">Renal_clearance_fraction</x:t>
        </x:is>
      </x:c>
      <x:c r="T1" s="4" t="inlineStr">
        <x:is>
          <x:t xml:space="preserve">Hepatic_clearance_fraction</x:t>
        </x:is>
      </x:c>
      <x:c r="U1" s="4" t="inlineStr">
        <x:is>
          <x:t xml:space="preserve">Protein_binding_sensitivity</x:t>
        </x:is>
      </x:c>
      <x:c r="V1" s="4" t="inlineStr">
        <x:is>
          <x:t xml:space="preserve">Placental_transfer_factor</x:t>
        </x:is>
      </x:c>
      <x:c r="W1" s="4" t="inlineStr">
        <x:is>
          <x:t xml:space="preserve">Fetal_accumulation_factor</x:t>
        </x:is>
      </x:c>
      <x:c r="X1" s="4" t="inlineStr">
        <x:is>
          <x:t xml:space="preserve">Fetal_tissue_Kp</x:t>
        </x:is>
      </x:c>
      <x:c r="Y1" s="4" t="inlineStr">
        <x:is>
          <x:t xml:space="preserve">Prototype_fetal_toxicity_threshold_mg_L</x:t>
        </x:is>
      </x:c>
      <x:c r="Z1" s="4" t="inlineStr">
        <x:is>
          <x:t xml:space="preserve">DART_signal</x:t>
        </x:is>
      </x:c>
      <x:c r="AA1" s="4" t="inlineStr">
        <x:is>
          <x:t xml:space="preserve">DART_confidence</x:t>
        </x:is>
      </x:c>
      <x:c r="AB1" s="4" t="inlineStr">
        <x:is>
          <x:t xml:space="preserve">DART_primary_source_URL</x:t>
        </x:is>
      </x:c>
      <x:c r="AC1" s="4" t="inlineStr">
        <x:is>
          <x:t xml:space="preserve">Parameter_source_type</x:t>
        </x:is>
      </x:c>
      <x:c r="AD1" s="4" t="inlineStr">
        <x:is>
          <x:t xml:space="preserve">Notes</x:t>
        </x:is>
      </x:c>
    </x:row>
    <x:row r="2">
      <x:c r="A2" s="9" t="inlineStr">
        <x:is>
          <x:t xml:space="preserve">DRUG-001</x:t>
        </x:is>
      </x:c>
      <x:c r="B2" s="10" t="inlineStr">
        <x:is>
          <x:t xml:space="preserve">Anastrozole</x:t>
        </x:is>
      </x:c>
      <x:c r="C2" s="11" t="inlineStr">
        <x:is>
          <x:t xml:space="preserve">No dedicated pregnancy PBPK identified in quick screen</x:t>
        </x:is>
      </x:c>
      <x:c r="D2" s="11" t="inlineStr">
        <x:is>
          <x:t xml:space="preserve">Low</x:t>
        </x:is>
      </x:c>
      <x:c r="E2" s="12" t="inlineStr">
        <x:is>
          <x:t xml:space="preserve">Prototype scaffold only; verify with manual literature review before use.</x:t>
        </x:is>
      </x:c>
      <x:c r="F2" s="13" t="inlineStr">
        <x:is>
          <x:t xml:space="preserve"/>
        </x:is>
      </x:c>
      <x:c r="G2" s="14" t="n">
        <x:v>1</x:v>
      </x:c>
      <x:c r="H2" s="15" t="n">
        <x:v>1</x:v>
      </x:c>
      <x:c r="I2" s="16" t="inlineStr">
        <x:is>
          <x:t xml:space="preserve">Oral</x:t>
        </x:is>
      </x:c>
      <x:c r="J2" s="14" t="n">
        <x:v>0.83</x:v>
      </x:c>
      <x:c r="K2" s="14" t="n">
        <x:v>1</x:v>
      </x:c>
      <x:c r="L2" s="14" t="n">
        <x:v>8</x:v>
      </x:c>
      <x:c r="M2" s="14" t="n">
        <x:v>70</x:v>
      </x:c>
      <x:c r="N2" s="14" t="n">
        <x:v>0.6</x:v>
      </x:c>
      <x:c r="O2" s="14" t="n">
        <x:v>0.9</x:v>
      </x:c>
      <x:c r="P2" s="14" t="n">
        <x:v>293.37</x:v>
      </x:c>
      <x:c r="Q2" s="14" t="n">
        <x:v>2.1</x:v>
      </x:c>
      <x:c r="R2" s="14" t="n">
        <x:v>2</x:v>
      </x:c>
      <x:c r="S2" s="14" t="n">
        <x:v>0.1</x:v>
      </x:c>
      <x:c r="T2" s="14" t="n">
        <x:v>0.8</x:v>
      </x:c>
      <x:c r="U2" s="14" t="n">
        <x:v>0.3</x:v>
      </x:c>
      <x:c r="V2" s="14" t="n">
        <x:v>0.7</x:v>
      </x:c>
      <x:c r="W2" s="14" t="n">
        <x:v>1</x:v>
      </x:c>
      <x:c r="X2" s="14" t="n">
        <x:v>1.2</x:v>
      </x:c>
      <x:c r="Y2" s="14" t="n">
        <x:v>0.2</x:v>
      </x:c>
      <x:c r="Z2" s="17" t="inlineStr">
        <x:is>
          <x:t xml:space="preserve">Positive</x:t>
        </x:is>
      </x:c>
      <x:c r="AA2" s="17" t="inlineStr">
        <x:is>
          <x:t xml:space="preserve">Medium</x:t>
        </x:is>
      </x:c>
      <x:c r="AB2" s="18" t="inlineStr">
        <x:is>
          <x:t xml:space="preserve">https://dailymed.nlm.nih.gov/dailymed/drugInfo.cfm?setid=df55dc4c-9a53-4a37-a90f-c4e88d458b89</x:t>
        </x:is>
      </x:c>
      <x:c r="AC2" s="19" t="inlineStr">
        <x:is>
          <x:t xml:space="preserve">Synthetic placeholder</x:t>
        </x:is>
      </x:c>
      <x:c r="AD2" s="12" t="inlineStr">
        <x:is>
          <x:t xml:space="preserve">Animal studies report embryo-fetal toxicity with increased pregnancy loss, resorptions, fewer live fetuses, delayed fetal development/incomplete ossification, decreased fetal body weight, and pregnancy failure in rabbits; female fertility impairment also reported.</x:t>
        </x:is>
      </x:c>
    </x:row>
    <x:row r="3">
      <x:c r="A3" s="9" t="inlineStr">
        <x:is>
          <x:t xml:space="preserve">DRUG-002</x:t>
        </x:is>
      </x:c>
      <x:c r="B3" s="10" t="inlineStr">
        <x:is>
          <x:t xml:space="preserve">Aspirin</x:t>
        </x:is>
      </x:c>
      <x:c r="C3" s="11" t="inlineStr">
        <x:is>
          <x:t xml:space="preserve">Pregnancy PBPK available</x:t>
        </x:is>
      </x:c>
      <x:c r="D3" s="11" t="inlineStr">
        <x:is>
          <x:t xml:space="preserve">High</x:t>
        </x:is>
      </x:c>
      <x:c r="E3" s="12" t="inlineStr">
        <x:is>
          <x:t xml:space="preserve">Pregnancy-specific PBPK model published in 2026; clinical PK studies in pregnancy also available.</x:t>
        </x:is>
      </x:c>
      <x:c r="F3" s="13" t="inlineStr">
        <x:is>
          <x:t xml:space="preserve">https://pubmed.ncbi.nlm.nih.gov/41574863 ; https://pubmed.ncbi.nlm.nih.gov/31051121</x:t>
        </x:is>
      </x:c>
      <x:c r="G3" s="14" t="n">
        <x:v>100</x:v>
      </x:c>
      <x:c r="H3" s="15" t="n">
        <x:v>100</x:v>
      </x:c>
      <x:c r="I3" s="16" t="inlineStr">
        <x:is>
          <x:t xml:space="preserve">Oral</x:t>
        </x:is>
      </x:c>
      <x:c r="J3" s="14" t="n">
        <x:v>0.68</x:v>
      </x:c>
      <x:c r="K3" s="14" t="n">
        <x:v>1.5</x:v>
      </x:c>
      <x:c r="L3" s="14" t="n">
        <x:v>18</x:v>
      </x:c>
      <x:c r="M3" s="14" t="n">
        <x:v>12</x:v>
      </x:c>
      <x:c r="N3" s="14" t="n">
        <x:v>0.15</x:v>
      </x:c>
      <x:c r="O3" s="14" t="n">
        <x:v>0.9</x:v>
      </x:c>
      <x:c r="P3" s="14" t="n">
        <x:v>180.16</x:v>
      </x:c>
      <x:c r="Q3" s="14" t="n">
        <x:v>1.2</x:v>
      </x:c>
      <x:c r="R3" s="14" t="n">
        <x:v>3.5</x:v>
      </x:c>
      <x:c r="S3" s="14" t="n">
        <x:v>0.3</x:v>
      </x:c>
      <x:c r="T3" s="14" t="n">
        <x:v>0.6</x:v>
      </x:c>
      <x:c r="U3" s="14" t="n">
        <x:v>0.2</x:v>
      </x:c>
      <x:c r="V3" s="14" t="n">
        <x:v>0.9</x:v>
      </x:c>
      <x:c r="W3" s="14" t="n">
        <x:v>1.1</x:v>
      </x:c>
      <x:c r="X3" s="14" t="n">
        <x:v>1.1</x:v>
      </x:c>
      <x:c r="Y3" s="14" t="n">
        <x:v>0.1</x:v>
      </x:c>
      <x:c r="Z3" s="17" t="inlineStr">
        <x:is>
          <x:t xml:space="preserve">Positive</x:t>
        </x:is>
      </x:c>
      <x:c r="AA3" s="17" t="inlineStr">
        <x:is>
          <x:t xml:space="preserve">Medium</x:t>
        </x:is>
      </x:c>
      <x:c r="AB3" s="18" t="inlineStr">
        <x:is>
          <x:t xml:space="preserve">https://dailymed.nlm.nih.gov/dailymed/drugInfo.cfm?setid=111a4f6a-c3e4-43e2-8f0e-8c72f71cddb2 ; https://www.accessdata.fda.gov/drugsatfda_docs/label/2021/013416s030lbl.pdf</x:t>
        </x:is>
      </x:c>
      <x:c r="AC3" s="19" t="inlineStr">
        <x:is>
          <x:t xml:space="preserve">Literature-informed prototype</x:t>
        </x:is>
      </x:c>
      <x:c r="AD3" s="12" t="inlineStr">
        <x:is>
          <x:t xml:space="preserve">Reported endpoints include teratogenicity in rats/rabbits, high resorption rate, and later-pregnancy NSAID-related fetal/neonatal toxicity: premature ductus arteriosus closure, fetal renal dysfunction, oligohydramnios, and neonatal renal impairment.</x:t>
        </x:is>
      </x:c>
    </x:row>
    <x:row r="4">
      <x:c r="A4" s="9" t="inlineStr">
        <x:is>
          <x:t xml:space="preserve">DRUG-003</x:t>
        </x:is>
      </x:c>
      <x:c r="B4" s="10" t="inlineStr">
        <x:is>
          <x:t xml:space="preserve">Azithromycin</x:t>
        </x:is>
      </x:c>
      <x:c r="C4" s="11" t="inlineStr">
        <x:is>
          <x:t xml:space="preserve">Observed pregnancy popPK available</x:t>
        </x:is>
      </x:c>
      <x:c r="D4" s="11" t="inlineStr">
        <x:is>
          <x:t xml:space="preserve">Medium</x:t>
        </x:is>
      </x:c>
      <x:c r="E4" s="12" t="inlineStr">
        <x:is>
          <x:t xml:space="preserve">Pregnancy population PK available; direct dedicated pregnancy PBPK not confirmed in quick screen.</x:t>
        </x:is>
      </x:c>
      <x:c r="F4" s="13" t="inlineStr">
        <x:is>
          <x:t xml:space="preserve">https://pubmed.ncbi.nlm.nih.gov/22106226</x:t>
        </x:is>
      </x:c>
      <x:c r="G4" s="14" t="n">
        <x:v>500</x:v>
      </x:c>
      <x:c r="H4" s="15" t="n">
        <x:v>500</x:v>
      </x:c>
      <x:c r="I4" s="16" t="inlineStr">
        <x:is>
          <x:t xml:space="preserve">Oral</x:t>
        </x:is>
      </x:c>
      <x:c r="J4" s="14" t="n">
        <x:v>0.37</x:v>
      </x:c>
      <x:c r="K4" s="14" t="n">
        <x:v>0.9</x:v>
      </x:c>
      <x:c r="L4" s="14" t="n">
        <x:v>25</x:v>
      </x:c>
      <x:c r="M4" s="14" t="n">
        <x:v>800</x:v>
      </x:c>
      <x:c r="N4" s="14" t="n">
        <x:v>0.3</x:v>
      </x:c>
      <x:c r="O4" s="14" t="n">
        <x:v>0.8</x:v>
      </x:c>
      <x:c r="P4" s="14" t="n">
        <x:v>748.98</x:v>
      </x:c>
      <x:c r="Q4" s="14" t="n">
        <x:v>3</x:v>
      </x:c>
      <x:c r="R4" s="14" t="n">
        <x:v>8.5</x:v>
      </x:c>
      <x:c r="S4" s="14" t="n">
        <x:v>0.1</x:v>
      </x:c>
      <x:c r="T4" s="14" t="n">
        <x:v>0.7</x:v>
      </x:c>
      <x:c r="U4" s="14" t="n">
        <x:v>0.4</x:v>
      </x:c>
      <x:c r="V4" s="14" t="n">
        <x:v>0.8</x:v>
      </x:c>
      <x:c r="W4" s="14" t="n">
        <x:v>1</x:v>
      </x:c>
      <x:c r="X4" s="14" t="n">
        <x:v>1.3</x:v>
      </x:c>
      <x:c r="Y4" s="14" t="n">
        <x:v>0.3</x:v>
      </x:c>
      <x:c r="Z4" s="17" t="inlineStr">
        <x:is>
          <x:t xml:space="preserve">Mixed</x:t>
        </x:is>
      </x:c>
      <x:c r="AA4" s="17" t="inlineStr">
        <x:is>
          <x:t xml:space="preserve">Medium</x:t>
        </x:is>
      </x:c>
      <x:c r="AB4" s="18" t="inlineStr">
        <x:is>
          <x:t xml:space="preserve">https://dailymed.nlm.nih.gov/dailymed/lookup.cfm?setid=a9cdb5ae-2aeb-c598-e053-2a95a90a8062 ; https://dailymed.nlm.nih.gov/dailymed/drugInfo.cfm?setid=8c2d65e1-7fa4-49ee-aa12-0322fc303c28</x:t>
        </x:is>
      </x:c>
      <x:c r="AC4" s="19" t="inlineStr">
        <x:is>
          <x:t xml:space="preserve">Literature-informed prototype</x:t>
        </x:is>
      </x:c>
      <x:c r="AD4" s="12" t="inlineStr">
        <x:is>
          <x:t xml:space="preserve">Standard embryo-fetal animal studies reported no evidence of fetal harm; in a rat pre/postnatal study, decreased offspring viability and delayed developmental landmarks were observed at high dose with maternal toxicity.</x:t>
        </x:is>
      </x:c>
    </x:row>
    <x:row r="5">
      <x:c r="A5" s="9" t="inlineStr">
        <x:is>
          <x:t xml:space="preserve">DRUG-004</x:t>
        </x:is>
      </x:c>
      <x:c r="B5" s="10" t="inlineStr">
        <x:is>
          <x:t xml:space="preserve">Cladribine</x:t>
        </x:is>
      </x:c>
      <x:c r="C5" s="11" t="inlineStr">
        <x:is>
          <x:t xml:space="preserve">No dedicated pregnancy PBPK identified in quick screen</x:t>
        </x:is>
      </x:c>
      <x:c r="D5" s="11" t="inlineStr">
        <x:is>
          <x:t xml:space="preserve">Low</x:t>
        </x:is>
      </x:c>
      <x:c r="E5" s="12" t="inlineStr">
        <x:is>
          <x:t xml:space="preserve">Prototype scaffold only; verify with manual literature review before use.</x:t>
        </x:is>
      </x:c>
      <x:c r="F5" s="13" t="inlineStr">
        <x:is>
          <x:t xml:space="preserve"/>
        </x:is>
      </x:c>
      <x:c r="G5" s="14" t="n">
        <x:v>10</x:v>
      </x:c>
      <x:c r="H5" s="15" t="n">
        <x:v>10</x:v>
      </x:c>
      <x:c r="I5" s="16" t="inlineStr">
        <x:is>
          <x:t xml:space="preserve">Oral</x:t>
        </x:is>
      </x:c>
      <x:c r="J5" s="14" t="n">
        <x:v>0.45</x:v>
      </x:c>
      <x:c r="K5" s="14" t="n">
        <x:v>1</x:v>
      </x:c>
      <x:c r="L5" s="14" t="n">
        <x:v>28</x:v>
      </x:c>
      <x:c r="M5" s="14" t="n">
        <x:v>480</x:v>
      </x:c>
      <x:c r="N5" s="14" t="n">
        <x:v>0.8</x:v>
      </x:c>
      <x:c r="O5" s="14" t="n">
        <x:v>1</x:v>
      </x:c>
      <x:c r="P5" s="14" t="n">
        <x:v>285.69</x:v>
      </x:c>
      <x:c r="Q5" s="14" t="n">
        <x:v>-0.1</x:v>
      </x:c>
      <x:c r="R5" s="14" t="n">
        <x:v>1.5</x:v>
      </x:c>
      <x:c r="S5" s="14" t="n">
        <x:v>0.5</x:v>
      </x:c>
      <x:c r="T5" s="14" t="n">
        <x:v>0.2</x:v>
      </x:c>
      <x:c r="U5" s="14" t="n">
        <x:v>0.1</x:v>
      </x:c>
      <x:c r="V5" s="14" t="n">
        <x:v>0.85</x:v>
      </x:c>
      <x:c r="W5" s="14" t="n">
        <x:v>1</x:v>
      </x:c>
      <x:c r="X5" s="14" t="n">
        <x:v>1</x:v>
      </x:c>
      <x:c r="Y5" s="14" t="n">
        <x:v>0.05</x:v>
      </x:c>
      <x:c r="Z5" s="17" t="inlineStr">
        <x:is>
          <x:t xml:space="preserve">Positive</x:t>
        </x:is>
      </x:c>
      <x:c r="AA5" s="17" t="inlineStr">
        <x:is>
          <x:t xml:space="preserve">Low</x:t>
        </x:is>
      </x:c>
      <x:c r="AB5" s="18" t="inlineStr">
        <x:is>
          <x:t xml:space="preserve">https://dailymed.nlm.nih.gov/dailymed/lookup.cfm?setid=407c52d5-6498-7da5-da35-acc9ca73ced3&amp;version=3</x:t>
        </x:is>
      </x:c>
      <x:c r="AC5" s="19" t="inlineStr">
        <x:is>
          <x:t xml:space="preserve">Synthetic placeholder</x:t>
        </x:is>
      </x:c>
      <x:c r="AD5" s="12" t="inlineStr">
        <x:is>
          <x:t xml:space="preserve">Label states that malformations and embryolethality occurred in animals, but detailed endpoint breakdown was not readily specified in the reviewed excerpt.</x:t>
        </x:is>
      </x:c>
    </x:row>
    <x:row r="6">
      <x:c r="A6" s="9" t="inlineStr">
        <x:is>
          <x:t xml:space="preserve">DRUG-005</x:t>
        </x:is>
      </x:c>
      <x:c r="B6" s="10" t="inlineStr">
        <x:is>
          <x:t xml:space="preserve">Epicatechin</x:t>
        </x:is>
      </x:c>
      <x:c r="C6" s="11" t="inlineStr">
        <x:is>
          <x:t xml:space="preserve">No dedicated pregnancy PBPK identified in quick screen</x:t>
        </x:is>
      </x:c>
      <x:c r="D6" s="11" t="inlineStr">
        <x:is>
          <x:t xml:space="preserve">Low</x:t>
        </x:is>
      </x:c>
      <x:c r="E6" s="12" t="inlineStr">
        <x:is>
          <x:t xml:space="preserve">Prototype scaffold only; verify with manual literature review before use.</x:t>
        </x:is>
      </x:c>
      <x:c r="F6" s="13" t="inlineStr">
        <x:is>
          <x:t xml:space="preserve"/>
        </x:is>
      </x:c>
      <x:c r="G6" s="14" t="n">
        <x:v>50</x:v>
      </x:c>
      <x:c r="H6" s="15" t="n">
        <x:v>50</x:v>
      </x:c>
      <x:c r="I6" s="16" t="inlineStr">
        <x:is>
          <x:t xml:space="preserve">Oral</x:t>
        </x:is>
      </x:c>
      <x:c r="J6" s="14" t="n">
        <x:v>0.15</x:v>
      </x:c>
      <x:c r="K6" s="14" t="n">
        <x:v>0.8</x:v>
      </x:c>
      <x:c r="L6" s="14" t="n">
        <x:v>35</x:v>
      </x:c>
      <x:c r="M6" s="14" t="n">
        <x:v>60</x:v>
      </x:c>
      <x:c r="N6" s="14" t="n">
        <x:v>0.3</x:v>
      </x:c>
      <x:c r="O6" s="14" t="n">
        <x:v>0.9</x:v>
      </x:c>
      <x:c r="P6" s="14" t="n">
        <x:v>290.27</x:v>
      </x:c>
      <x:c r="Q6" s="14" t="n">
        <x:v>1</x:v>
      </x:c>
      <x:c r="R6" s="14" t="n">
        <x:v>8.5</x:v>
      </x:c>
      <x:c r="S6" s="14" t="n">
        <x:v>0.2</x:v>
      </x:c>
      <x:c r="T6" s="14" t="n">
        <x:v>0.6</x:v>
      </x:c>
      <x:c r="U6" s="14" t="n">
        <x:v>0.25</x:v>
      </x:c>
      <x:c r="V6" s="14" t="n">
        <x:v>0.65</x:v>
      </x:c>
      <x:c r="W6" s="14" t="n">
        <x:v>1</x:v>
      </x:c>
      <x:c r="X6" s="14" t="n">
        <x:v>1.1</x:v>
      </x:c>
      <x:c r="Y6" s="14" t="n">
        <x:v>0.2</x:v>
      </x:c>
      <x:c r="Z6" s="17" t="inlineStr">
        <x:is>
          <x:t xml:space="preserve">Negative/No clear signal</x:t>
        </x:is>
      </x:c>
      <x:c r="AA6" s="17" t="inlineStr">
        <x:is>
          <x:t xml:space="preserve">Low</x:t>
        </x:is>
      </x:c>
      <x:c r="AB6" s="18" t="inlineStr">
        <x:is>
          <x:t xml:space="preserve">https://www.sciencedirect.com/science/article/pii/S2214750015000050</x:t>
        </x:is>
      </x:c>
      <x:c r="AC6" s="19" t="inlineStr">
        <x:is>
          <x:t xml:space="preserve">Synthetic placeholder</x:t>
        </x:is>
      </x:c>
      <x:c r="AD6" s="12" t="inlineStr">
        <x:is>
          <x:t xml:space="preserve">In a mouse gestation/lactation study, assessed endpoints included resorptions, implantations, litter size, postnatal survival, body weight, and skeletal development; no marked developmental effects were reported, though liver mineral changes were noted.</x:t>
        </x:is>
      </x:c>
    </x:row>
    <x:row r="7">
      <x:c r="A7" s="9" t="inlineStr">
        <x:is>
          <x:t xml:space="preserve">DRUG-006</x:t>
        </x:is>
      </x:c>
      <x:c r="B7" s="10" t="inlineStr">
        <x:is>
          <x:t xml:space="preserve">Exemestane</x:t>
        </x:is>
      </x:c>
      <x:c r="C7" s="11" t="inlineStr">
        <x:is>
          <x:t xml:space="preserve">No dedicated pregnancy PBPK identified in quick screen</x:t>
        </x:is>
      </x:c>
      <x:c r="D7" s="11" t="inlineStr">
        <x:is>
          <x:t xml:space="preserve">Low</x:t>
        </x:is>
      </x:c>
      <x:c r="E7" s="12" t="inlineStr">
        <x:is>
          <x:t xml:space="preserve">Prototype scaffold only; verify with manual literature review before use.</x:t>
        </x:is>
      </x:c>
      <x:c r="F7" s="13" t="inlineStr">
        <x:is>
          <x:t xml:space="preserve"/>
        </x:is>
      </x:c>
      <x:c r="G7" s="14" t="n">
        <x:v>25</x:v>
      </x:c>
      <x:c r="H7" s="15" t="n">
        <x:v>25</x:v>
      </x:c>
      <x:c r="I7" s="16" t="inlineStr">
        <x:is>
          <x:t xml:space="preserve">Oral</x:t>
        </x:is>
      </x:c>
      <x:c r="J7" s="14" t="n">
        <x:v>0.42</x:v>
      </x:c>
      <x:c r="K7" s="14" t="n">
        <x:v>1.1</x:v>
      </x:c>
      <x:c r="L7" s="14" t="n">
        <x:v>14</x:v>
      </x:c>
      <x:c r="M7" s="14" t="n">
        <x:v>90</x:v>
      </x:c>
      <x:c r="N7" s="14" t="n">
        <x:v>0.1</x:v>
      </x:c>
      <x:c r="O7" s="14" t="n">
        <x:v>0.9</x:v>
      </x:c>
      <x:c r="P7" s="14" t="n">
        <x:v>296.4</x:v>
      </x:c>
      <x:c r="Q7" s="14" t="n">
        <x:v>3.1</x:v>
      </x:c>
      <x:c r="R7" s="14" t="n">
        <x:v>13</x:v>
      </x:c>
      <x:c r="S7" s="14" t="n">
        <x:v>0.1</x:v>
      </x:c>
      <x:c r="T7" s="14" t="n">
        <x:v>0.8</x:v>
      </x:c>
      <x:c r="U7" s="14" t="n">
        <x:v>0.35</x:v>
      </x:c>
      <x:c r="V7" s="14" t="n">
        <x:v>0.9</x:v>
      </x:c>
      <x:c r="W7" s="14" t="n">
        <x:v>1.1</x:v>
      </x:c>
      <x:c r="X7" s="14" t="n">
        <x:v>1.4</x:v>
      </x:c>
      <x:c r="Y7" s="14" t="n">
        <x:v>0.15</x:v>
      </x:c>
      <x:c r="Z7" s="17" t="inlineStr">
        <x:is>
          <x:t xml:space="preserve">Positive</x:t>
        </x:is>
      </x:c>
      <x:c r="AA7" s="17" t="inlineStr">
        <x:is>
          <x:t xml:space="preserve">Medium</x:t>
        </x:is>
      </x:c>
      <x:c r="AB7" s="18" t="inlineStr">
        <x:is>
          <x:t xml:space="preserve">https://dailymed.nlm.nih.gov/dailymed/drugInfo.cfm?setid=f8bd17b4-5289-45bb-8095-de89dc8d39ed</x:t>
        </x:is>
      </x:c>
      <x:c r="AC7" s="19" t="inlineStr">
        <x:is>
          <x:t xml:space="preserve">Synthetic placeholder</x:t>
        </x:is>
      </x:c>
      <x:c r="AD7" s="12" t="inlineStr">
        <x:is>
          <x:t xml:space="preserve">Animal studies report abortions, embryo-fetal toxicity, increased resorptions, reduced live fetuses, decreased fetal weight, retarded ossification, prolonged gestation, and abnormal/difficult labor.</x:t>
        </x:is>
      </x:c>
    </x:row>
    <x:row r="8">
      <x:c r="A8" s="9" t="inlineStr">
        <x:is>
          <x:t xml:space="preserve">DRUG-007</x:t>
        </x:is>
      </x:c>
      <x:c r="B8" s="10" t="inlineStr">
        <x:is>
          <x:t xml:space="preserve">Fluorouracil</x:t>
        </x:is>
      </x:c>
      <x:c r="C8" s="11" t="inlineStr">
        <x:is>
          <x:t xml:space="preserve">No dedicated pregnancy PBPK identified in quick screen</x:t>
        </x:is>
      </x:c>
      <x:c r="D8" s="11" t="inlineStr">
        <x:is>
          <x:t xml:space="preserve">Low</x:t>
        </x:is>
      </x:c>
      <x:c r="E8" s="12" t="inlineStr">
        <x:is>
          <x:t xml:space="preserve">Prototype scaffold only; verify with manual literature review before use.</x:t>
        </x:is>
      </x:c>
      <x:c r="F8" s="13" t="inlineStr">
        <x:is>
          <x:t xml:space="preserve"/>
        </x:is>
      </x:c>
      <x:c r="G8" s="14" t="n">
        <x:v>50</x:v>
      </x:c>
      <x:c r="H8" s="15" t="n">
        <x:v>50</x:v>
      </x:c>
      <x:c r="I8" s="16" t="inlineStr">
        <x:is>
          <x:t xml:space="preserve">Oral/IV</x:t>
        </x:is>
      </x:c>
      <x:c r="J8" s="14" t="n">
        <x:v>0.2</x:v>
      </x:c>
      <x:c r="K8" s="14" t="n">
        <x:v>1.3</x:v>
      </x:c>
      <x:c r="L8" s="14" t="n">
        <x:v>45</x:v>
      </x:c>
      <x:c r="M8" s="14" t="n">
        <x:v>18</x:v>
      </x:c>
      <x:c r="N8" s="14" t="n">
        <x:v>0.9</x:v>
      </x:c>
      <x:c r="O8" s="14" t="n">
        <x:v>1</x:v>
      </x:c>
      <x:c r="P8" s="14" t="n">
        <x:v>130.08</x:v>
      </x:c>
      <x:c r="Q8" s="14" t="n">
        <x:v>-0.9</x:v>
      </x:c>
      <x:c r="R8" s="14" t="n">
        <x:v>8</x:v>
      </x:c>
      <x:c r="S8" s="14" t="n">
        <x:v>0.15</x:v>
      </x:c>
      <x:c r="T8" s="14" t="n">
        <x:v>0.75</x:v>
      </x:c>
      <x:c r="U8" s="14" t="n">
        <x:v>0.1</x:v>
      </x:c>
      <x:c r="V8" s="14" t="n">
        <x:v>0.95</x:v>
      </x:c>
      <x:c r="W8" s="14" t="n">
        <x:v>1.1</x:v>
      </x:c>
      <x:c r="X8" s="14" t="n">
        <x:v>1</x:v>
      </x:c>
      <x:c r="Y8" s="14" t="n">
        <x:v>0.04</x:v>
      </x:c>
      <x:c r="Z8" s="17" t="inlineStr">
        <x:is>
          <x:t xml:space="preserve">Positive</x:t>
        </x:is>
      </x:c>
      <x:c r="AA8" s="17" t="inlineStr">
        <x:is>
          <x:t xml:space="preserve">Medium</x:t>
        </x:is>
      </x:c>
      <x:c r="AB8" s="18" t="inlineStr">
        <x:is>
          <x:t xml:space="preserve">https://dailymed.nlm.nih.gov/dailymed/drugInfo.cfm?setid=66d451fe-2436-494c-80c5-4528c8e34369</x:t>
        </x:is>
      </x:c>
      <x:c r="AC8" s="19" t="inlineStr">
        <x:is>
          <x:t xml:space="preserve">Synthetic placeholder</x:t>
        </x:is>
      </x:c>
      <x:c r="AD8" s="12" t="inlineStr">
        <x:is>
          <x:t xml:space="preserve">Reported endpoints include embryolethality, teratogenicity, cleft palate, skeletal defects, micro-anophthalmos, abortion in monkeys, resorptions, decreased fetal body weight, and growth delay.</x:t>
        </x:is>
      </x:c>
    </x:row>
    <x:row r="9">
      <x:c r="A9" s="9" t="inlineStr">
        <x:is>
          <x:t xml:space="preserve">DRUG-008</x:t>
        </x:is>
      </x:c>
      <x:c r="B9" s="10" t="inlineStr">
        <x:is>
          <x:t xml:space="preserve">Indomethacin</x:t>
        </x:is>
      </x:c>
      <x:c r="C9" s="11" t="inlineStr">
        <x:is>
          <x:t xml:space="preserve">Pregnancy maternal-fetal PBPK available</x:t>
        </x:is>
      </x:c>
      <x:c r="D9" s="11" t="inlineStr">
        <x:is>
          <x:t xml:space="preserve">High</x:t>
        </x:is>
      </x:c>
      <x:c r="E9" s="12" t="inlineStr">
        <x:is>
          <x:t xml:space="preserve">Maternal-fetal PBPK and PBPK/PD studies available; fetal exposure increase predicted in later gestation.</x:t>
        </x:is>
      </x:c>
      <x:c r="F9" s="13" t="inlineStr">
        <x:is>
          <x:t xml:space="preserve">https://pubmed.ncbi.nlm.nih.gov/34185331 ; https://pubmed.ncbi.nlm.nih.gov/26431339 ; https://pubmed.ncbi.nlm.nih.gov/24493205</x:t>
        </x:is>
      </x:c>
      <x:c r="G9" s="14" t="n">
        <x:v>100</x:v>
      </x:c>
      <x:c r="H9" s="15" t="n">
        <x:v>100</x:v>
      </x:c>
      <x:c r="I9" s="16" t="inlineStr">
        <x:is>
          <x:t xml:space="preserve">Oral</x:t>
        </x:is>
      </x:c>
      <x:c r="J9" s="14" t="n">
        <x:v>0.95</x:v>
      </x:c>
      <x:c r="K9" s="14" t="n">
        <x:v>1.2</x:v>
      </x:c>
      <x:c r="L9" s="14" t="n">
        <x:v>9</x:v>
      </x:c>
      <x:c r="M9" s="14" t="n">
        <x:v>35</x:v>
      </x:c>
      <x:c r="N9" s="14" t="n">
        <x:v>0.01</x:v>
      </x:c>
      <x:c r="O9" s="14" t="n">
        <x:v>0.6</x:v>
      </x:c>
      <x:c r="P9" s="14" t="n">
        <x:v>357.79</x:v>
      </x:c>
      <x:c r="Q9" s="14" t="n">
        <x:v>4.3</x:v>
      </x:c>
      <x:c r="R9" s="14" t="n">
        <x:v>4.5</x:v>
      </x:c>
      <x:c r="S9" s="14" t="n">
        <x:v>0.1</x:v>
      </x:c>
      <x:c r="T9" s="14" t="n">
        <x:v>0.8</x:v>
      </x:c>
      <x:c r="U9" s="14" t="n">
        <x:v>0.6</x:v>
      </x:c>
      <x:c r="V9" s="14" t="n">
        <x:v>1</x:v>
      </x:c>
      <x:c r="W9" s="14" t="n">
        <x:v>1.2</x:v>
      </x:c>
      <x:c r="X9" s="14" t="n">
        <x:v>1.5</x:v>
      </x:c>
      <x:c r="Y9" s="14" t="n">
        <x:v>0.03</x:v>
      </x:c>
      <x:c r="Z9" s="17" t="inlineStr">
        <x:is>
          <x:t xml:space="preserve">Positive</x:t>
        </x:is>
      </x:c>
      <x:c r="AA9" s="17" t="inlineStr">
        <x:is>
          <x:t xml:space="preserve">Medium</x:t>
        </x:is>
      </x:c>
      <x:c r="AB9" s="18" t="inlineStr">
        <x:is>
          <x:t xml:space="preserve">https://dailymed.nlm.nih.gov/dailymed/lookup.cfm?setid=d2997707-1541-4f5d-8c8d-70b0a13be8b2</x:t>
        </x:is>
      </x:c>
      <x:c r="AC9" s="19" t="inlineStr">
        <x:is>
          <x:t xml:space="preserve">Literature-informed prototype</x:t>
        </x:is>
      </x:c>
      <x:c r="AD9" s="12" t="inlineStr">
        <x:is>
          <x:t xml:space="preserve">Reported endpoints include premature ductus arteriosus closure, fetal renal dysfunction, oligohydramnios, neonatal renal impairment, retarded ossification, increased fetal resorptions, fetal malformations, pre/post-implantation loss, delayed parturition, stillbirth, and neuronal necrosis in offspring.</x:t>
        </x:is>
      </x:c>
    </x:row>
    <x:row r="10">
      <x:c r="A10" s="9" t="inlineStr">
        <x:is>
          <x:t xml:space="preserve">DRUG-009</x:t>
        </x:is>
      </x:c>
      <x:c r="B10" s="10" t="inlineStr">
        <x:is>
          <x:t xml:space="preserve">Leflunomide</x:t>
        </x:is>
      </x:c>
      <x:c r="C10" s="11" t="inlineStr">
        <x:is>
          <x:t xml:space="preserve">No dedicated pregnancy PBPK identified in quick screen</x:t>
        </x:is>
      </x:c>
      <x:c r="D10" s="11" t="inlineStr">
        <x:is>
          <x:t xml:space="preserve">Low</x:t>
        </x:is>
      </x:c>
      <x:c r="E10" s="12" t="inlineStr">
        <x:is>
          <x:t xml:space="preserve">Prototype scaffold only; verify with manual literature review before use.</x:t>
        </x:is>
      </x:c>
      <x:c r="F10" s="13" t="inlineStr">
        <x:is>
          <x:t xml:space="preserve"/>
        </x:is>
      </x:c>
      <x:c r="G10" s="14" t="n">
        <x:v>20</x:v>
      </x:c>
      <x:c r="H10" s="15" t="n">
        <x:v>20</x:v>
      </x:c>
      <x:c r="I10" s="16" t="inlineStr">
        <x:is>
          <x:t xml:space="preserve">Oral</x:t>
        </x:is>
      </x:c>
      <x:c r="J10" s="14" t="n">
        <x:v>0.8</x:v>
      </x:c>
      <x:c r="K10" s="14" t="n">
        <x:v>0.7</x:v>
      </x:c>
      <x:c r="L10" s="14" t="n">
        <x:v>0.5</x:v>
      </x:c>
      <x:c r="M10" s="14" t="n">
        <x:v>15</x:v>
      </x:c>
      <x:c r="N10" s="14" t="n">
        <x:v>0.01</x:v>
      </x:c>
      <x:c r="O10" s="14" t="n">
        <x:v>0.7</x:v>
      </x:c>
      <x:c r="P10" s="14" t="n">
        <x:v>270.2</x:v>
      </x:c>
      <x:c r="Q10" s="14" t="n">
        <x:v>2.9</x:v>
      </x:c>
      <x:c r="R10" s="14" t="n">
        <x:v>5</x:v>
      </x:c>
      <x:c r="S10" s="14" t="n">
        <x:v>0.05</x:v>
      </x:c>
      <x:c r="T10" s="14" t="n">
        <x:v>0.8</x:v>
      </x:c>
      <x:c r="U10" s="14" t="n">
        <x:v>0.5</x:v>
      </x:c>
      <x:c r="V10" s="14" t="n">
        <x:v>0.85</x:v>
      </x:c>
      <x:c r="W10" s="14" t="n">
        <x:v>1.1</x:v>
      </x:c>
      <x:c r="X10" s="14" t="n">
        <x:v>1.3</x:v>
      </x:c>
      <x:c r="Y10" s="14" t="n">
        <x:v>0.02</x:v>
      </x:c>
      <x:c r="Z10" s="17" t="inlineStr">
        <x:is>
          <x:t xml:space="preserve">Positive</x:t>
        </x:is>
      </x:c>
      <x:c r="AA10" s="17" t="inlineStr">
        <x:is>
          <x:t xml:space="preserve">Low</x:t>
        </x:is>
      </x:c>
      <x:c r="AB10" s="18" t="inlineStr">
        <x:is>
          <x:t xml:space="preserve">https://dailymed.nlm.nih.gov/dailymed/drugInfo.cfm?setid=fc044417-cd9a-42f6-8a3d-a14e7c2f81a2 ; https://dailymed.nlm.nih.gov/dailymed/getFile.cfm?setid=8c1bc23b-a62b-4172-a603-8b97761514b4&amp;type=pdf</x:t>
        </x:is>
      </x:c>
      <x:c r="AC10" s="19" t="inlineStr">
        <x:is>
          <x:t xml:space="preserve">Synthetic placeholder</x:t>
        </x:is>
      </x:c>
      <x:c r="AD10" s="12" t="inlineStr">
        <x:is>
          <x:t xml:space="preserve">Direct label reports teratogenicity and embryolethality. Related teriflunomide data describe craniofacial, skeletal, heart/great vessel defects, fetal death, decreased growth, limb defects, eye/skin abnormalities, and postnatal death.</x:t>
        </x:is>
      </x:c>
    </x:row>
    <x:row r="11">
      <x:c r="A11" s="9" t="inlineStr">
        <x:is>
          <x:t xml:space="preserve">DRUG-010</x:t>
        </x:is>
      </x:c>
      <x:c r="B11" s="10" t="inlineStr">
        <x:is>
          <x:t xml:space="preserve">Letrozole</x:t>
        </x:is>
      </x:c>
      <x:c r="C11" s="11" t="inlineStr">
        <x:is>
          <x:t xml:space="preserve">No dedicated pregnancy PBPK identified in quick screen</x:t>
        </x:is>
      </x:c>
      <x:c r="D11" s="11" t="inlineStr">
        <x:is>
          <x:t xml:space="preserve">Low</x:t>
        </x:is>
      </x:c>
      <x:c r="E11" s="12" t="inlineStr">
        <x:is>
          <x:t xml:space="preserve">Prototype scaffold only; verify with manual literature review before use.</x:t>
        </x:is>
      </x:c>
      <x:c r="F11" s="13" t="inlineStr">
        <x:is>
          <x:t xml:space="preserve"/>
        </x:is>
      </x:c>
      <x:c r="G11" s="14" t="n">
        <x:v>2.5</x:v>
      </x:c>
      <x:c r="H11" s="15" t="n">
        <x:v>2.5</x:v>
      </x:c>
      <x:c r="I11" s="16" t="inlineStr">
        <x:is>
          <x:t xml:space="preserve">Oral</x:t>
        </x:is>
      </x:c>
      <x:c r="J11" s="14" t="n">
        <x:v>0.99</x:v>
      </x:c>
      <x:c r="K11" s="14" t="n">
        <x:v>1.1</x:v>
      </x:c>
      <x:c r="L11" s="14" t="n">
        <x:v>6</x:v>
      </x:c>
      <x:c r="M11" s="14" t="n">
        <x:v>110</x:v>
      </x:c>
      <x:c r="N11" s="14" t="n">
        <x:v>0.4</x:v>
      </x:c>
      <x:c r="O11" s="14" t="n">
        <x:v>0.9</x:v>
      </x:c>
      <x:c r="P11" s="14" t="n">
        <x:v>285.31</x:v>
      </x:c>
      <x:c r="Q11" s="14" t="n">
        <x:v>2.4</x:v>
      </x:c>
      <x:c r="R11" s="14" t="n">
        <x:v>2.2</x:v>
      </x:c>
      <x:c r="S11" s="14" t="n">
        <x:v>0.1</x:v>
      </x:c>
      <x:c r="T11" s="14" t="n">
        <x:v>0.8</x:v>
      </x:c>
      <x:c r="U11" s="14" t="n">
        <x:v>0.3</x:v>
      </x:c>
      <x:c r="V11" s="14" t="n">
        <x:v>0.75</x:v>
      </x:c>
      <x:c r="W11" s="14" t="n">
        <x:v>1</x:v>
      </x:c>
      <x:c r="X11" s="14" t="n">
        <x:v>1.2</x:v>
      </x:c>
      <x:c r="Y11" s="14" t="n">
        <x:v>0.1</x:v>
      </x:c>
      <x:c r="Z11" s="17" t="inlineStr">
        <x:is>
          <x:t xml:space="preserve">Positive</x:t>
        </x:is>
      </x:c>
      <x:c r="AA11" s="17" t="inlineStr">
        <x:is>
          <x:t xml:space="preserve">Medium</x:t>
        </x:is>
      </x:c>
      <x:c r="AB11" s="18" t="inlineStr">
        <x:is>
          <x:t xml:space="preserve">https://dailymed.nlm.nih.gov/dailymed/lookup.cfm?setid=e1390a0d-0280-49a5-a2d4-d2e13e9952ca</x:t>
        </x:is>
      </x:c>
      <x:c r="AC11" s="19" t="inlineStr">
        <x:is>
          <x:t xml:space="preserve">Synthetic placeholder</x:t>
        </x:is>
      </x:c>
      <x:c r="AD11" s="12" t="inlineStr">
        <x:is>
          <x:t xml:space="preserve">Reported endpoints include increased post-implantation loss and resorption, fewer live fetuses, intrauterine mortality, renal and skeletal malformations, incomplete ossification, and female fertility impairment.</x:t>
        </x:is>
      </x:c>
    </x:row>
    <x:row r="12">
      <x:c r="A12" s="9" t="inlineStr">
        <x:is>
          <x:t xml:space="preserve">DRUG-011</x:t>
        </x:is>
      </x:c>
      <x:c r="B12" s="10" t="inlineStr">
        <x:is>
          <x:t xml:space="preserve">Olaparib</x:t>
        </x:is>
      </x:c>
      <x:c r="C12" s="11" t="inlineStr">
        <x:is>
          <x:t xml:space="preserve">No dedicated pregnancy PBPK identified in quick screen</x:t>
        </x:is>
      </x:c>
      <x:c r="D12" s="11" t="inlineStr">
        <x:is>
          <x:t xml:space="preserve">Low</x:t>
        </x:is>
      </x:c>
      <x:c r="E12" s="12" t="inlineStr">
        <x:is>
          <x:t xml:space="preserve">Prototype scaffold only; verify with manual literature review before use.</x:t>
        </x:is>
      </x:c>
      <x:c r="F12" s="13" t="inlineStr">
        <x:is>
          <x:t xml:space="preserve"/>
        </x:is>
      </x:c>
      <x:c r="G12" s="14" t="n">
        <x:v>50</x:v>
      </x:c>
      <x:c r="H12" s="15" t="n">
        <x:v>50</x:v>
      </x:c>
      <x:c r="I12" s="16" t="inlineStr">
        <x:is>
          <x:t xml:space="preserve">Oral</x:t>
        </x:is>
      </x:c>
      <x:c r="J12" s="14" t="n">
        <x:v>0.5</x:v>
      </x:c>
      <x:c r="K12" s="14" t="n">
        <x:v>1</x:v>
      </x:c>
      <x:c r="L12" s="14" t="n">
        <x:v>12</x:v>
      </x:c>
      <x:c r="M12" s="14" t="n">
        <x:v>160</x:v>
      </x:c>
      <x:c r="N12" s="14" t="n">
        <x:v>0.18</x:v>
      </x:c>
      <x:c r="O12" s="14" t="n">
        <x:v>0.9</x:v>
      </x:c>
      <x:c r="P12" s="14" t="n">
        <x:v>434.46</x:v>
      </x:c>
      <x:c r="Q12" s="14" t="n">
        <x:v>2</x:v>
      </x:c>
      <x:c r="R12" s="14" t="n">
        <x:v>2</x:v>
      </x:c>
      <x:c r="S12" s="14" t="n">
        <x:v>0.15</x:v>
      </x:c>
      <x:c r="T12" s="14" t="n">
        <x:v>0.75</x:v>
      </x:c>
      <x:c r="U12" s="14" t="n">
        <x:v>0.3</x:v>
      </x:c>
      <x:c r="V12" s="14" t="n">
        <x:v>0.8</x:v>
      </x:c>
      <x:c r="W12" s="14" t="n">
        <x:v>1.1</x:v>
      </x:c>
      <x:c r="X12" s="14" t="n">
        <x:v>1.3</x:v>
      </x:c>
      <x:c r="Y12" s="14" t="n">
        <x:v>0.06</x:v>
      </x:c>
      <x:c r="Z12" s="17" t="inlineStr">
        <x:is>
          <x:t xml:space="preserve">Positive</x:t>
        </x:is>
      </x:c>
      <x:c r="AA12" s="17" t="inlineStr">
        <x:is>
          <x:t xml:space="preserve">Medium</x:t>
        </x:is>
      </x:c>
      <x:c r="AB12" s="18" t="inlineStr">
        <x:is>
          <x:t xml:space="preserve">https://dailymed.nlm.nih.gov/dailymed/drugInfo.cfm?setid=741ff3e3-dc1a-45a6-84e5-2481b27131aa</x:t>
        </x:is>
      </x:c>
      <x:c r="AC12" s="19" t="inlineStr">
        <x:is>
          <x:t xml:space="preserve">Synthetic placeholder</x:t>
        </x:is>
      </x:c>
      <x:c r="AD12" s="12" t="inlineStr">
        <x:is>
          <x:t xml:space="preserve">Reported endpoints include teratogenicity, embryo-fetal toxicity, increased post-implantation loss, and major malformations affecting eyes, vertebrae/ribs, skull, and diaphragm.</x:t>
        </x:is>
      </x:c>
    </x:row>
    <x:row r="13">
      <x:c r="A13" s="9" t="inlineStr">
        <x:is>
          <x:t xml:space="preserve">DRUG-012</x:t>
        </x:is>
      </x:c>
      <x:c r="B13" s="10" t="inlineStr">
        <x:is>
          <x:t xml:space="preserve">Osthole</x:t>
        </x:is>
      </x:c>
      <x:c r="C13" s="11" t="inlineStr">
        <x:is>
          <x:t xml:space="preserve">No dedicated pregnancy PBPK identified in quick screen</x:t>
        </x:is>
      </x:c>
      <x:c r="D13" s="11" t="inlineStr">
        <x:is>
          <x:t xml:space="preserve">Low</x:t>
        </x:is>
      </x:c>
      <x:c r="E13" s="12" t="inlineStr">
        <x:is>
          <x:t xml:space="preserve">Prototype scaffold only; verify with manual literature review before use.</x:t>
        </x:is>
      </x:c>
      <x:c r="F13" s="13" t="inlineStr">
        <x:is>
          <x:t xml:space="preserve"/>
        </x:is>
      </x:c>
      <x:c r="G13" s="14" t="n">
        <x:v>50</x:v>
      </x:c>
      <x:c r="H13" s="15" t="n">
        <x:v>50</x:v>
      </x:c>
      <x:c r="I13" s="16" t="inlineStr">
        <x:is>
          <x:t xml:space="preserve">Oral</x:t>
        </x:is>
      </x:c>
      <x:c r="J13" s="14" t="n">
        <x:v>0.35</x:v>
      </x:c>
      <x:c r="K13" s="14" t="n">
        <x:v>0.8</x:v>
      </x:c>
      <x:c r="L13" s="14" t="n">
        <x:v>10</x:v>
      </x:c>
      <x:c r="M13" s="14" t="n">
        <x:v>120</x:v>
      </x:c>
      <x:c r="N13" s="14" t="n">
        <x:v>0.08</x:v>
      </x:c>
      <x:c r="O13" s="14" t="n">
        <x:v>0.85</x:v>
      </x:c>
      <x:c r="P13" s="14" t="n">
        <x:v>244.29</x:v>
      </x:c>
      <x:c r="Q13" s="14" t="n">
        <x:v>3.2</x:v>
      </x:c>
      <x:c r="R13" s="14" t="n">
        <x:v>6.5</x:v>
      </x:c>
      <x:c r="S13" s="14" t="n">
        <x:v>0.1</x:v>
      </x:c>
      <x:c r="T13" s="14" t="n">
        <x:v>0.7</x:v>
      </x:c>
      <x:c r="U13" s="14" t="n">
        <x:v>0.4</x:v>
      </x:c>
      <x:c r="V13" s="14" t="n">
        <x:v>0.7</x:v>
      </x:c>
      <x:c r="W13" s="14" t="n">
        <x:v>1</x:v>
      </x:c>
      <x:c r="X13" s="14" t="n">
        <x:v>1.4</x:v>
      </x:c>
      <x:c r="Y13" s="14" t="n">
        <x:v>0.1</x:v>
      </x:c>
      <x:c r="Z13" s="17" t="inlineStr">
        <x:is>
          <x:t xml:space="preserve">No data found</x:t>
        </x:is>
      </x:c>
      <x:c r="AA13" s="17" t="inlineStr">
        <x:is>
          <x:t xml:space="preserve">Low</x:t>
        </x:is>
      </x:c>
      <x:c r="AB13" s="18" t="n"/>
      <x:c r="AC13" s="19" t="inlineStr">
        <x:is>
          <x:t xml:space="preserve">Synthetic placeholder</x:t>
        </x:is>
      </x:c>
      <x:c r="AD13" s="12" t="inlineStr">
        <x:is>
          <x:t xml:space="preserve">No clear DART-specific source was identified in the reviewed search set.</x:t>
        </x:is>
      </x:c>
    </x:row>
    <x:row r="14">
      <x:c r="A14" s="9" t="inlineStr">
        <x:is>
          <x:t xml:space="preserve">DRUG-013</x:t>
        </x:is>
      </x:c>
      <x:c r="B14" s="10" t="inlineStr">
        <x:is>
          <x:t xml:space="preserve">Pravastatin</x:t>
        </x:is>
      </x:c>
      <x:c r="C14" s="11" t="inlineStr">
        <x:is>
          <x:t xml:space="preserve">Pregnancy PBPK available</x:t>
        </x:is>
      </x:c>
      <x:c r="D14" s="11" t="inlineStr">
        <x:is>
          <x:t xml:space="preserve">Medium</x:t>
        </x:is>
      </x:c>
      <x:c r="E14" s="12" t="inlineStr">
        <x:is>
          <x:t xml:space="preserve">Pregnancy-related PBPK model reported with maternal plasma and amniotic fluid simulation.</x:t>
        </x:is>
      </x:c>
      <x:c r="F14" s="13" t="inlineStr">
        <x:is>
          <x:t xml:space="preserve">https://www.frontiersin.org/journals/pharmacology/articles/10.3389/fphar.2023.1241815/full</x:t>
        </x:is>
      </x:c>
      <x:c r="G14" s="14" t="n">
        <x:v>20</x:v>
      </x:c>
      <x:c r="H14" s="15" t="n">
        <x:v>20</x:v>
      </x:c>
      <x:c r="I14" s="16" t="inlineStr">
        <x:is>
          <x:t xml:space="preserve">Oral</x:t>
        </x:is>
      </x:c>
      <x:c r="J14" s="14" t="n">
        <x:v>0.18</x:v>
      </x:c>
      <x:c r="K14" s="14" t="n">
        <x:v>1</x:v>
      </x:c>
      <x:c r="L14" s="14" t="n">
        <x:v>24</x:v>
      </x:c>
      <x:c r="M14" s="14" t="n">
        <x:v>34</x:v>
      </x:c>
      <x:c r="N14" s="14" t="n">
        <x:v>0.455</x:v>
      </x:c>
      <x:c r="O14" s="14" t="n">
        <x:v>0.85</x:v>
      </x:c>
      <x:c r="P14" s="14" t="n">
        <x:v>446.52</x:v>
      </x:c>
      <x:c r="Q14" s="14" t="n">
        <x:v>0.59</x:v>
      </x:c>
      <x:c r="R14" s="14" t="n">
        <x:v>4.2</x:v>
      </x:c>
      <x:c r="S14" s="14" t="n">
        <x:v>0.5</x:v>
      </x:c>
      <x:c r="T14" s="14" t="n">
        <x:v>0.3</x:v>
      </x:c>
      <x:c r="U14" s="14" t="n">
        <x:v>0.2</x:v>
      </x:c>
      <x:c r="V14" s="14" t="n">
        <x:v>0.75</x:v>
      </x:c>
      <x:c r="W14" s="14" t="n">
        <x:v>1</x:v>
      </x:c>
      <x:c r="X14" s="14" t="n">
        <x:v>1</x:v>
      </x:c>
      <x:c r="Y14" s="14" t="n">
        <x:v>0.05</x:v>
      </x:c>
      <x:c r="Z14" s="17" t="inlineStr">
        <x:is>
          <x:t xml:space="preserve">Negative/No clear signal</x:t>
        </x:is>
      </x:c>
      <x:c r="AA14" s="17" t="inlineStr">
        <x:is>
          <x:t xml:space="preserve">Medium</x:t>
        </x:is>
      </x:c>
      <x:c r="AB14" s="18" t="inlineStr">
        <x:is>
          <x:t xml:space="preserve">https://dailymed.nlm.nih.gov/dailymed/lookup.cfm?setid=93b0e546-9e0f-40d1-9b1e-082bf16400a4</x:t>
        </x:is>
      </x:c>
      <x:c r="AC14" s="19" t="inlineStr">
        <x:is>
          <x:t xml:space="preserve">Literature-informed prototype</x:t>
        </x:is>
      </x:c>
      <x:c r="AD14" s="12" t="inlineStr">
        <x:is>
          <x:t xml:space="preserve">Animal organogenesis studies reported no evidence of fetal malformations in rats or rabbits at exposures above the human dose.</x:t>
        </x:is>
      </x:c>
    </x:row>
    <x:row r="15">
      <x:c r="A15" s="9" t="inlineStr">
        <x:is>
          <x:t xml:space="preserve">DRUG-014</x:t>
        </x:is>
      </x:c>
      <x:c r="B15" s="10" t="inlineStr">
        <x:is>
          <x:t xml:space="preserve">Temozolomide</x:t>
        </x:is>
      </x:c>
      <x:c r="C15" s="11" t="inlineStr">
        <x:is>
          <x:t xml:space="preserve">No dedicated pregnancy PBPK identified in quick screen</x:t>
        </x:is>
      </x:c>
      <x:c r="D15" s="11" t="inlineStr">
        <x:is>
          <x:t xml:space="preserve">Low</x:t>
        </x:is>
      </x:c>
      <x:c r="E15" s="12" t="inlineStr">
        <x:is>
          <x:t xml:space="preserve">Prototype scaffold only; verify with manual literature review before use.</x:t>
        </x:is>
      </x:c>
      <x:c r="F15" s="13" t="inlineStr">
        <x:is>
          <x:t xml:space="preserve"/>
        </x:is>
      </x:c>
      <x:c r="G15" s="14" t="n">
        <x:v>50</x:v>
      </x:c>
      <x:c r="H15" s="15" t="n">
        <x:v>50</x:v>
      </x:c>
      <x:c r="I15" s="16" t="inlineStr">
        <x:is>
          <x:t xml:space="preserve">Oral</x:t>
        </x:is>
      </x:c>
      <x:c r="J15" s="14" t="n">
        <x:v>1</x:v>
      </x:c>
      <x:c r="K15" s="14" t="n">
        <x:v>1.4</x:v>
      </x:c>
      <x:c r="L15" s="14" t="n">
        <x:v>8</x:v>
      </x:c>
      <x:c r="M15" s="14" t="n">
        <x:v>30</x:v>
      </x:c>
      <x:c r="N15" s="14" t="n">
        <x:v>0.9</x:v>
      </x:c>
      <x:c r="O15" s="14" t="n">
        <x:v>1</x:v>
      </x:c>
      <x:c r="P15" s="14" t="n">
        <x:v>194.15</x:v>
      </x:c>
      <x:c r="Q15" s="14" t="n">
        <x:v>-2.8</x:v>
      </x:c>
      <x:c r="R15" s="14" t="n">
        <x:v>4</x:v>
      </x:c>
      <x:c r="S15" s="14" t="n">
        <x:v>0.1</x:v>
      </x:c>
      <x:c r="T15" s="14" t="n">
        <x:v>0.6</x:v>
      </x:c>
      <x:c r="U15" s="14" t="n">
        <x:v>0.15</x:v>
      </x:c>
      <x:c r="V15" s="14" t="n">
        <x:v>0.95</x:v>
      </x:c>
      <x:c r="W15" s="14" t="n">
        <x:v>1.1</x:v>
      </x:c>
      <x:c r="X15" s="14" t="n">
        <x:v>1.1</x:v>
      </x:c>
      <x:c r="Y15" s="14" t="n">
        <x:v>0.05</x:v>
      </x:c>
      <x:c r="Z15" s="17" t="inlineStr">
        <x:is>
          <x:t xml:space="preserve">Positive</x:t>
        </x:is>
      </x:c>
      <x:c r="AA15" s="17" t="inlineStr">
        <x:is>
          <x:t xml:space="preserve">Medium</x:t>
        </x:is>
      </x:c>
      <x:c r="AB15" s="18" t="inlineStr">
        <x:is>
          <x:t xml:space="preserve">https://dailymed.nlm.nih.gov/dailymed/drugInfo.cfm?setid=bd3eae4f-7294-4a42-b726-34193d6ba753</x:t>
        </x:is>
      </x:c>
      <x:c r="AC15" s="19" t="inlineStr">
        <x:is>
          <x:t xml:space="preserve">Synthetic placeholder</x:t>
        </x:is>
      </x:c>
      <x:c r="AD15" s="12" t="inlineStr">
        <x:is>
          <x:t xml:space="preserve">Reported endpoints include embryolethality, increased resorptions, and numerous fetal malformations of external organs, internal soft tissues, and skeleton.</x:t>
        </x:is>
      </x:c>
    </x:row>
    <x:row r="16">
      <x:c r="A16" s="9" t="inlineStr">
        <x:is>
          <x:t xml:space="preserve">DRUG-015</x:t>
        </x:is>
      </x:c>
      <x:c r="B16" s="10" t="inlineStr">
        <x:is>
          <x:t xml:space="preserve">Thalidomide</x:t>
        </x:is>
      </x:c>
      <x:c r="C16" s="11" t="inlineStr">
        <x:is>
          <x:t xml:space="preserve">No dedicated pregnancy PBPK identified in quick screen</x:t>
        </x:is>
      </x:c>
      <x:c r="D16" s="11" t="inlineStr">
        <x:is>
          <x:t xml:space="preserve">Low</x:t>
        </x:is>
      </x:c>
      <x:c r="E16" s="12" t="inlineStr">
        <x:is>
          <x:t xml:space="preserve">Prototype scaffold only; verify with manual literature review before use.</x:t>
        </x:is>
      </x:c>
      <x:c r="F16" s="13" t="inlineStr">
        <x:is>
          <x:t xml:space="preserve"/>
        </x:is>
      </x:c>
      <x:c r="G16" s="14" t="n">
        <x:v>50</x:v>
      </x:c>
      <x:c r="H16" s="15" t="n">
        <x:v>50</x:v>
      </x:c>
      <x:c r="I16" s="16" t="inlineStr">
        <x:is>
          <x:t xml:space="preserve">Oral</x:t>
        </x:is>
      </x:c>
      <x:c r="J16" s="14" t="n">
        <x:v>0.85</x:v>
      </x:c>
      <x:c r="K16" s="14" t="n">
        <x:v>0.9</x:v>
      </x:c>
      <x:c r="L16" s="14" t="n">
        <x:v>6</x:v>
      </x:c>
      <x:c r="M16" s="14" t="n">
        <x:v>75</x:v>
      </x:c>
      <x:c r="N16" s="14" t="n">
        <x:v>0.45</x:v>
      </x:c>
      <x:c r="O16" s="14" t="n">
        <x:v>0.9</x:v>
      </x:c>
      <x:c r="P16" s="14" t="n">
        <x:v>258.23</x:v>
      </x:c>
      <x:c r="Q16" s="14" t="n">
        <x:v>0.6</x:v>
      </x:c>
      <x:c r="R16" s="14" t="n">
        <x:v>10</x:v>
      </x:c>
      <x:c r="S16" s="14" t="n">
        <x:v>0.05</x:v>
      </x:c>
      <x:c r="T16" s="14" t="n">
        <x:v>0.7</x:v>
      </x:c>
      <x:c r="U16" s="14" t="n">
        <x:v>0.2</x:v>
      </x:c>
      <x:c r="V16" s="14" t="n">
        <x:v>0.95</x:v>
      </x:c>
      <x:c r="W16" s="14" t="n">
        <x:v>1.15</x:v>
      </x:c>
      <x:c r="X16" s="14" t="n">
        <x:v>1.3</x:v>
      </x:c>
      <x:c r="Y16" s="14" t="n">
        <x:v>0.03</x:v>
      </x:c>
      <x:c r="Z16" s="17" t="inlineStr">
        <x:is>
          <x:t xml:space="preserve">Positive</x:t>
        </x:is>
      </x:c>
      <x:c r="AA16" s="17" t="inlineStr">
        <x:is>
          <x:t xml:space="preserve">High</x:t>
        </x:is>
      </x:c>
      <x:c r="AB16" s="18" t="inlineStr">
        <x:is>
          <x:t xml:space="preserve">https://dailymed.nlm.nih.gov/dailymed/lookup.cfm?setid=2eda833b-1357-4ed4-a093-194524fcb061</x:t>
        </x:is>
      </x:c>
      <x:c r="AC16" s="19" t="inlineStr">
        <x:is>
          <x:t xml:space="preserve">Synthetic placeholder</x:t>
        </x:is>
      </x:c>
      <x:c r="AD16" s="12" t="inlineStr">
        <x:is>
          <x:t xml:space="preserve">Known human teratogen associated with severe major birth defects and embryo-fetal death; reviewed label excerpt did not enumerate the full defect spectrum.</x:t>
        </x:is>
      </x:c>
    </x:row>
    <x:row r="17">
      <x:c r="A17" s="9" t="inlineStr">
        <x:is>
          <x:t xml:space="preserve">DRUG-016</x:t>
        </x:is>
      </x:c>
      <x:c r="B17" s="10" t="inlineStr">
        <x:is>
          <x:t xml:space="preserve">Valproic Acid sodium salt</x:t>
        </x:is>
      </x:c>
      <x:c r="C17" s="11" t="inlineStr">
        <x:is>
          <x:t xml:space="preserve">Developmental tox PK/IVIVE only</x:t>
        </x:is>
      </x:c>
      <x:c r="D17" s="11" t="inlineStr">
        <x:is>
          <x:t xml:space="preserve">Low</x:t>
        </x:is>
      </x:c>
      <x:c r="E17" s="12" t="inlineStr">
        <x:is>
          <x:t xml:space="preserve">Developmental toxicity PK/IVIVE literature found, but no dedicated human pregnancy PBPK identified in quick screen.</x:t>
        </x:is>
      </x:c>
      <x:c r="F17" s="13" t="inlineStr">
        <x:is>
          <x:t xml:space="preserve">https://pubmed.ncbi.nlm.nih.gov/35532929</x:t>
        </x:is>
      </x:c>
      <x:c r="G17" s="14" t="n">
        <x:v>500</x:v>
      </x:c>
      <x:c r="H17" s="15" t="n">
        <x:v>500</x:v>
      </x:c>
      <x:c r="I17" s="16" t="inlineStr">
        <x:is>
          <x:t xml:space="preserve">Oral</x:t>
        </x:is>
      </x:c>
      <x:c r="J17" s="14" t="n">
        <x:v>1</x:v>
      </x:c>
      <x:c r="K17" s="14" t="n">
        <x:v>1.1</x:v>
      </x:c>
      <x:c r="L17" s="14" t="n">
        <x:v>7</x:v>
      </x:c>
      <x:c r="M17" s="14" t="n">
        <x:v>14</x:v>
      </x:c>
      <x:c r="N17" s="14" t="n">
        <x:v>0.1</x:v>
      </x:c>
      <x:c r="O17" s="14" t="n">
        <x:v>0.9</x:v>
      </x:c>
      <x:c r="P17" s="14" t="n">
        <x:v>166.2</x:v>
      </x:c>
      <x:c r="Q17" s="14" t="n">
        <x:v>2.8</x:v>
      </x:c>
      <x:c r="R17" s="14" t="n">
        <x:v>4.8</x:v>
      </x:c>
      <x:c r="S17" s="14" t="n">
        <x:v>0.1</x:v>
      </x:c>
      <x:c r="T17" s="14" t="n">
        <x:v>0.8</x:v>
      </x:c>
      <x:c r="U17" s="14" t="n">
        <x:v>0.5</x:v>
      </x:c>
      <x:c r="V17" s="14" t="n">
        <x:v>0.9</x:v>
      </x:c>
      <x:c r="W17" s="14" t="n">
        <x:v>1.1</x:v>
      </x:c>
      <x:c r="X17" s="14" t="n">
        <x:v>1.2</x:v>
      </x:c>
      <x:c r="Y17" s="14" t="n">
        <x:v>0.08</x:v>
      </x:c>
      <x:c r="Z17" s="17" t="inlineStr">
        <x:is>
          <x:t xml:space="preserve">Positive</x:t>
        </x:is>
      </x:c>
      <x:c r="AA17" s="17" t="inlineStr">
        <x:is>
          <x:t xml:space="preserve">High</x:t>
        </x:is>
      </x:c>
      <x:c r="AB17" s="18" t="inlineStr">
        <x:is>
          <x:t xml:space="preserve">https://dailymed.nlm.nih.gov/dailymed/lookup.cfm?setid=7d5cb52e-37dd-4dfa-a6f4-09f9548846c6</x:t>
        </x:is>
      </x:c>
      <x:c r="AC17" s="19" t="inlineStr">
        <x:is>
          <x:t xml:space="preserve">Literature-informed prototype</x:t>
        </x:is>
      </x:c>
      <x:c r="AD17" s="12" t="inlineStr">
        <x:is>
          <x:t xml:space="preserve">Reported endpoints include neural tube defects/spina bifida, craniofacial/oral clefts, cardiovascular malformations, hypospadias, limb malformations, decreased IQ, neurodevelopmental disorders, neonatal hypoglycemia, infant hepatic failure, neonatal hemorrhagic complications, and animal neurobehavioral deficits.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d2ff22725fb43ae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0" customWidth="1"/>
    <x:col min="3" max="3" width="50" customWidth="1"/>
    <x:col min="4" max="4" width="90" customWidth="1"/>
    <x:col min="5" max="5" width="65" customWidth="1"/>
    <x:col min="6" max="6" width="55" customWidth="1"/>
  </x:cols>
  <x:sheetData>
    <x:row r="1">
      <x:c r="A1" s="4" t="inlineStr">
        <x:is>
          <x:t xml:space="preserve">Drug_name</x:t>
        </x:is>
      </x:c>
      <x:c r="B1" s="4" t="inlineStr">
        <x:is>
          <x:t xml:space="preserve">Status_bucket</x:t>
        </x:is>
      </x:c>
      <x:c r="C1" s="4" t="inlineStr">
        <x:is>
          <x:t xml:space="preserve">Pregnancy_PBPK_or_PK_summary</x:t>
        </x:is>
      </x:c>
      <x:c r="D1" s="4" t="inlineStr">
        <x:is>
          <x:t xml:space="preserve">Key_quantitative_note</x:t>
        </x:is>
      </x:c>
      <x:c r="E1" s="4" t="inlineStr">
        <x:is>
          <x:t xml:space="preserve">Primary_reference_URL</x:t>
        </x:is>
      </x:c>
      <x:c r="F1" s="4" t="inlineStr">
        <x:is>
          <x:t xml:space="preserve">Secondary_reference_URL</x:t>
        </x:is>
      </x:c>
    </x:row>
    <x:row r="2">
      <x:c r="A2" s="6" t="inlineStr">
        <x:is>
          <x:t xml:space="preserve">Aspirin</x:t>
        </x:is>
      </x:c>
      <x:c r="B2" s="11" t="inlineStr">
        <x:is>
          <x:t xml:space="preserve">Pregnancy PBPK available</x:t>
        </x:is>
      </x:c>
      <x:c r="C2" s="12" t="inlineStr">
        <x:is>
          <x:t xml:space="preserve">Pregnancy-specific PBPK and clinical PK evidence available.</x:t>
        </x:is>
      </x:c>
      <x:c r="D2" s="12" t="inlineStr">
        <x:is>
          <x:t xml:space="preserve">Clinical PK study found ~40% lower AUC0-24, ~29% lower Cmax, and ~44% higher clearance in pregnancy at 100 mg; 2026 PBPK model also reports gestational exposure decrease and increasing fetal exposure.</x:t>
        </x:is>
      </x:c>
      <x:c r="E2" s="18" t="inlineStr">
        <x:is>
          <x:t xml:space="preserve">https://pubmed.ncbi.nlm.nih.gov/41574863</x:t>
        </x:is>
      </x:c>
      <x:c r="F2" s="18" t="inlineStr">
        <x:is>
          <x:t xml:space="preserve">https://pubmed.ncbi.nlm.nih.gov/31051121</x:t>
        </x:is>
      </x:c>
    </x:row>
    <x:row r="3">
      <x:c r="A3" s="6" t="inlineStr">
        <x:is>
          <x:t xml:space="preserve">Indomethacin</x:t>
        </x:is>
      </x:c>
      <x:c r="B3" s="11" t="inlineStr">
        <x:is>
          <x:t xml:space="preserve">Pregnancy maternal-fetal PBPK available</x:t>
        </x:is>
      </x:c>
      <x:c r="C3" s="12" t="inlineStr">
        <x:is>
          <x:t xml:space="preserve">Maternal-fetal PBPK and PBPK/PD published.</x:t>
        </x:is>
      </x:c>
      <x:c r="D3" s="12" t="inlineStr">
        <x:is>
          <x:t xml:space="preserve">Clinical PK in pregnant women: mean AUCss 1.91 μg·h/mL, Cmax 1.02 μg/mL, CL/Fss 14.5 L/h; fetal/maternal ratio ~4.0 in one study. PBPK predicted maternal exposure decrease up to 32% and fetal exposure increase ~33% with gestation.</x:t>
        </x:is>
      </x:c>
      <x:c r="E3" s="18" t="inlineStr">
        <x:is>
          <x:t xml:space="preserve">https://pubmed.ncbi.nlm.nih.gov/34185331</x:t>
        </x:is>
      </x:c>
      <x:c r="F3" s="18" t="inlineStr">
        <x:is>
          <x:t xml:space="preserve">https://pubmed.ncbi.nlm.nih.gov/24493205</x:t>
        </x:is>
      </x:c>
    </x:row>
    <x:row r="4">
      <x:c r="A4" s="6" t="inlineStr">
        <x:is>
          <x:t xml:space="preserve">Pravastatin</x:t>
        </x:is>
      </x:c>
      <x:c r="B4" s="11" t="inlineStr">
        <x:is>
          <x:t xml:space="preserve">Pregnancy PBPK available</x:t>
        </x:is>
      </x:c>
      <x:c r="C4" s="12" t="inlineStr">
        <x:is>
          <x:t xml:space="preserve">Pregnancy-related PBPK reported in GastroPlus-based workflow.</x:t>
        </x:is>
      </x:c>
      <x:c r="D4" s="12" t="inlineStr">
        <x:is>
          <x:t xml:space="preserve">Simulated pregnant maternal plasma decreased vs nonpregnant plasma and amniotic-fluid concentrations increased over gestation; model built from 20 mg nonpregnant data and extended with fetal-maternal compartments.</x:t>
        </x:is>
      </x:c>
      <x:c r="E4" s="18" t="inlineStr">
        <x:is>
          <x:t xml:space="preserve">https://www.frontiersin.org/journals/pharmacology/articles/10.3389/fphar.2023.1241815/full</x:t>
        </x:is>
      </x:c>
      <x:c r="F4" s="18" t="inlineStr">
        <x:is>
          <x:t xml:space="preserve"/>
        </x:is>
      </x:c>
    </x:row>
    <x:row r="5">
      <x:c r="A5" s="6" t="inlineStr">
        <x:is>
          <x:t xml:space="preserve">Azithromycin</x:t>
        </x:is>
      </x:c>
      <x:c r="B5" s="11" t="inlineStr">
        <x:is>
          <x:t xml:space="preserve">Observed pregnancy popPK available</x:t>
        </x:is>
      </x:c>
      <x:c r="C5" s="12" t="inlineStr">
        <x:is>
          <x:t xml:space="preserve">Observed pregnancy population PK in women of childbearing age; direct dedicated pregnancy PBPK not confirmed in quick screen.</x:t>
        </x:is>
      </x:c>
      <x:c r="D5" s="12" t="inlineStr">
        <x:is>
          <x:t xml:space="preserve">Pregnancy and ethnicity influenced oral clearance; non-African American pregnant women showed 21% to 42% higher dose-adjusted AUC in one study.</x:t>
        </x:is>
      </x:c>
      <x:c r="E5" s="18" t="inlineStr">
        <x:is>
          <x:t xml:space="preserve">https://pubmed.ncbi.nlm.nih.gov/22106226</x:t>
        </x:is>
      </x:c>
      <x:c r="F5" s="18" t="inlineStr">
        <x:is>
          <x:t xml:space="preserve">https://pmc.ncbi.nlm.nih.gov/articles/PMC5824116</x:t>
        </x:is>
      </x:c>
    </x:row>
    <x:row r="6">
      <x:c r="A6" s="6" t="inlineStr">
        <x:is>
          <x:t xml:space="preserve">Valproic Acid sodium salt</x:t>
        </x:is>
      </x:c>
      <x:c r="B6" s="11" t="inlineStr">
        <x:is>
          <x:t xml:space="preserve">Developmental tox PK/IVIVE only</x:t>
        </x:is>
      </x:c>
      <x:c r="C6" s="12" t="inlineStr">
        <x:is>
          <x:t xml:space="preserve">Developmental toxicity PK/IVIVE literature located, but no dedicated human pregnancy PBPK identified in quick screen.</x:t>
        </x:is>
      </x:c>
      <x:c r="D6" s="12" t="inlineStr">
        <x:is>
          <x:t xml:space="preserve">Use as literature-known developmental toxicant with scaffold-only maternal-fetal PBPK placeholders until drug-specific pregnancy PK is curated.</x:t>
        </x:is>
      </x:c>
      <x:c r="E6" s="18" t="inlineStr">
        <x:is>
          <x:t xml:space="preserve">https://pubmed.ncbi.nlm.nih.gov/35532929</x:t>
        </x:is>
      </x:c>
      <x:c r="F6" s="18" t="inlineStr">
        <x:is>
          <x:t xml:space="preserve"/>
        </x:is>
      </x:c>
    </x:row>
    <x:row r="7">
      <x:c r="A7" s="6" t="inlineStr">
        <x:is>
          <x:t xml:space="preserve">Anastrozole</x:t>
        </x:is>
      </x:c>
      <x:c r="B7" s="11" t="inlineStr">
        <x:is>
          <x:t xml:space="preserve">Scaffold only</x:t>
        </x:is>
      </x:c>
      <x:c r="C7" s="12" t="inlineStr">
        <x:is>
          <x:t xml:space="preserve">No dedicated pregnancy PBPK identified in quick web screen; model fields are placeholders for app development.</x:t>
        </x:is>
      </x:c>
      <x:c r="D7" s="12" t="inlineStr">
        <x:is>
          <x:t xml:space="preserve">Curate physicochemical, binding, clearance, and placental transfer values before any decision use.</x:t>
        </x:is>
      </x:c>
      <x:c r="E7" s="18" t="inlineStr">
        <x:is>
          <x:t xml:space="preserve"/>
        </x:is>
      </x:c>
      <x:c r="F7" s="18" t="inlineStr">
        <x:is>
          <x:t xml:space="preserve"/>
        </x:is>
      </x:c>
    </x:row>
    <x:row r="8">
      <x:c r="A8" s="6" t="inlineStr">
        <x:is>
          <x:t xml:space="preserve">Cladribine</x:t>
        </x:is>
      </x:c>
      <x:c r="B8" s="11" t="inlineStr">
        <x:is>
          <x:t xml:space="preserve">Scaffold only</x:t>
        </x:is>
      </x:c>
      <x:c r="C8" s="12" t="inlineStr">
        <x:is>
          <x:t xml:space="preserve">No dedicated pregnancy PBPK identified in quick web screen; model fields are placeholders for app development.</x:t>
        </x:is>
      </x:c>
      <x:c r="D8" s="12" t="inlineStr">
        <x:is>
          <x:t xml:space="preserve">Curate physicochemical, binding, clearance, and placental transfer values before any decision use.</x:t>
        </x:is>
      </x:c>
      <x:c r="E8" s="18" t="inlineStr">
        <x:is>
          <x:t xml:space="preserve"/>
        </x:is>
      </x:c>
      <x:c r="F8" s="18" t="inlineStr">
        <x:is>
          <x:t xml:space="preserve"/>
        </x:is>
      </x:c>
    </x:row>
    <x:row r="9">
      <x:c r="A9" s="6" t="inlineStr">
        <x:is>
          <x:t xml:space="preserve">Epicatechin</x:t>
        </x:is>
      </x:c>
      <x:c r="B9" s="11" t="inlineStr">
        <x:is>
          <x:t xml:space="preserve">Scaffold only</x:t>
        </x:is>
      </x:c>
      <x:c r="C9" s="12" t="inlineStr">
        <x:is>
          <x:t xml:space="preserve">No dedicated pregnancy PBPK identified in quick web screen; model fields are placeholders for app development.</x:t>
        </x:is>
      </x:c>
      <x:c r="D9" s="12" t="inlineStr">
        <x:is>
          <x:t xml:space="preserve">Curate physicochemical, binding, clearance, and placental transfer values before any decision use.</x:t>
        </x:is>
      </x:c>
      <x:c r="E9" s="18" t="inlineStr">
        <x:is>
          <x:t xml:space="preserve"/>
        </x:is>
      </x:c>
      <x:c r="F9" s="18" t="inlineStr">
        <x:is>
          <x:t xml:space="preserve"/>
        </x:is>
      </x:c>
    </x:row>
    <x:row r="10">
      <x:c r="A10" s="6" t="inlineStr">
        <x:is>
          <x:t xml:space="preserve">Exemestane</x:t>
        </x:is>
      </x:c>
      <x:c r="B10" s="11" t="inlineStr">
        <x:is>
          <x:t xml:space="preserve">Scaffold only</x:t>
        </x:is>
      </x:c>
      <x:c r="C10" s="12" t="inlineStr">
        <x:is>
          <x:t xml:space="preserve">No dedicated pregnancy PBPK identified in quick web screen; model fields are placeholders for app development.</x:t>
        </x:is>
      </x:c>
      <x:c r="D10" s="12" t="inlineStr">
        <x:is>
          <x:t xml:space="preserve">Curate physicochemical, binding, clearance, and placental transfer values before any decision use.</x:t>
        </x:is>
      </x:c>
      <x:c r="E10" s="18" t="inlineStr">
        <x:is>
          <x:t xml:space="preserve"/>
        </x:is>
      </x:c>
      <x:c r="F10" s="18" t="inlineStr">
        <x:is>
          <x:t xml:space="preserve"/>
        </x:is>
      </x:c>
    </x:row>
    <x:row r="11">
      <x:c r="A11" s="6" t="inlineStr">
        <x:is>
          <x:t xml:space="preserve">Fluorouracil</x:t>
        </x:is>
      </x:c>
      <x:c r="B11" s="11" t="inlineStr">
        <x:is>
          <x:t xml:space="preserve">Scaffold only</x:t>
        </x:is>
      </x:c>
      <x:c r="C11" s="12" t="inlineStr">
        <x:is>
          <x:t xml:space="preserve">No dedicated pregnancy PBPK identified in quick web screen; model fields are placeholders for app development.</x:t>
        </x:is>
      </x:c>
      <x:c r="D11" s="12" t="inlineStr">
        <x:is>
          <x:t xml:space="preserve">Curate physicochemical, binding, clearance, and placental transfer values before any decision use.</x:t>
        </x:is>
      </x:c>
      <x:c r="E11" s="18" t="inlineStr">
        <x:is>
          <x:t xml:space="preserve"/>
        </x:is>
      </x:c>
      <x:c r="F11" s="18" t="inlineStr">
        <x:is>
          <x:t xml:space="preserve"/>
        </x:is>
      </x:c>
    </x:row>
    <x:row r="12">
      <x:c r="A12" s="6" t="inlineStr">
        <x:is>
          <x:t xml:space="preserve">Leflunomide</x:t>
        </x:is>
      </x:c>
      <x:c r="B12" s="11" t="inlineStr">
        <x:is>
          <x:t xml:space="preserve">Scaffold only</x:t>
        </x:is>
      </x:c>
      <x:c r="C12" s="12" t="inlineStr">
        <x:is>
          <x:t xml:space="preserve">No dedicated pregnancy PBPK identified in quick web screen; model fields are placeholders for app development.</x:t>
        </x:is>
      </x:c>
      <x:c r="D12" s="12" t="inlineStr">
        <x:is>
          <x:t xml:space="preserve">Curate physicochemical, binding, clearance, and placental transfer values before any decision use.</x:t>
        </x:is>
      </x:c>
      <x:c r="E12" s="18" t="inlineStr">
        <x:is>
          <x:t xml:space="preserve"/>
        </x:is>
      </x:c>
      <x:c r="F12" s="18" t="inlineStr">
        <x:is>
          <x:t xml:space="preserve"/>
        </x:is>
      </x:c>
    </x:row>
    <x:row r="13">
      <x:c r="A13" s="6" t="inlineStr">
        <x:is>
          <x:t xml:space="preserve">Letrozole</x:t>
        </x:is>
      </x:c>
      <x:c r="B13" s="11" t="inlineStr">
        <x:is>
          <x:t xml:space="preserve">Scaffold only</x:t>
        </x:is>
      </x:c>
      <x:c r="C13" s="12" t="inlineStr">
        <x:is>
          <x:t xml:space="preserve">No dedicated pregnancy PBPK identified in quick web screen; model fields are placeholders for app development.</x:t>
        </x:is>
      </x:c>
      <x:c r="D13" s="12" t="inlineStr">
        <x:is>
          <x:t xml:space="preserve">Curate physicochemical, binding, clearance, and placental transfer values before any decision use.</x:t>
        </x:is>
      </x:c>
      <x:c r="E13" s="18" t="inlineStr">
        <x:is>
          <x:t xml:space="preserve"/>
        </x:is>
      </x:c>
      <x:c r="F13" s="18" t="inlineStr">
        <x:is>
          <x:t xml:space="preserve"/>
        </x:is>
      </x:c>
    </x:row>
    <x:row r="14">
      <x:c r="A14" s="6" t="inlineStr">
        <x:is>
          <x:t xml:space="preserve">Olaparib</x:t>
        </x:is>
      </x:c>
      <x:c r="B14" s="11" t="inlineStr">
        <x:is>
          <x:t xml:space="preserve">Scaffold only</x:t>
        </x:is>
      </x:c>
      <x:c r="C14" s="12" t="inlineStr">
        <x:is>
          <x:t xml:space="preserve">No dedicated pregnancy PBPK identified in quick web screen; model fields are placeholders for app development.</x:t>
        </x:is>
      </x:c>
      <x:c r="D14" s="12" t="inlineStr">
        <x:is>
          <x:t xml:space="preserve">Curate physicochemical, binding, clearance, and placental transfer values before any decision use.</x:t>
        </x:is>
      </x:c>
      <x:c r="E14" s="18" t="inlineStr">
        <x:is>
          <x:t xml:space="preserve"/>
        </x:is>
      </x:c>
      <x:c r="F14" s="18" t="inlineStr">
        <x:is>
          <x:t xml:space="preserve"/>
        </x:is>
      </x:c>
    </x:row>
    <x:row r="15">
      <x:c r="A15" s="6" t="inlineStr">
        <x:is>
          <x:t xml:space="preserve">Osthole</x:t>
        </x:is>
      </x:c>
      <x:c r="B15" s="11" t="inlineStr">
        <x:is>
          <x:t xml:space="preserve">Scaffold only</x:t>
        </x:is>
      </x:c>
      <x:c r="C15" s="12" t="inlineStr">
        <x:is>
          <x:t xml:space="preserve">No dedicated pregnancy PBPK identified in quick web screen; model fields are placeholders for app development.</x:t>
        </x:is>
      </x:c>
      <x:c r="D15" s="12" t="inlineStr">
        <x:is>
          <x:t xml:space="preserve">Curate physicochemical, binding, clearance, and placental transfer values before any decision use.</x:t>
        </x:is>
      </x:c>
      <x:c r="E15" s="18" t="inlineStr">
        <x:is>
          <x:t xml:space="preserve"/>
        </x:is>
      </x:c>
      <x:c r="F15" s="18" t="inlineStr">
        <x:is>
          <x:t xml:space="preserve"/>
        </x:is>
      </x:c>
    </x:row>
    <x:row r="16">
      <x:c r="A16" s="6" t="inlineStr">
        <x:is>
          <x:t xml:space="preserve">Temozolomide</x:t>
        </x:is>
      </x:c>
      <x:c r="B16" s="11" t="inlineStr">
        <x:is>
          <x:t xml:space="preserve">Scaffold only</x:t>
        </x:is>
      </x:c>
      <x:c r="C16" s="12" t="inlineStr">
        <x:is>
          <x:t xml:space="preserve">No dedicated pregnancy PBPK identified in quick web screen; model fields are placeholders for app development.</x:t>
        </x:is>
      </x:c>
      <x:c r="D16" s="12" t="inlineStr">
        <x:is>
          <x:t xml:space="preserve">Curate physicochemical, binding, clearance, and placental transfer values before any decision use.</x:t>
        </x:is>
      </x:c>
      <x:c r="E16" s="18" t="inlineStr">
        <x:is>
          <x:t xml:space="preserve"/>
        </x:is>
      </x:c>
      <x:c r="F16" s="18" t="inlineStr">
        <x:is>
          <x:t xml:space="preserve"/>
        </x:is>
      </x:c>
    </x:row>
    <x:row r="17">
      <x:c r="A17" s="6" t="inlineStr">
        <x:is>
          <x:t xml:space="preserve">Thalidomide</x:t>
        </x:is>
      </x:c>
      <x:c r="B17" s="11" t="inlineStr">
        <x:is>
          <x:t xml:space="preserve">Scaffold only</x:t>
        </x:is>
      </x:c>
      <x:c r="C17" s="12" t="inlineStr">
        <x:is>
          <x:t xml:space="preserve">No dedicated pregnancy PBPK identified in quick web screen; model fields are placeholders for app development.</x:t>
        </x:is>
      </x:c>
      <x:c r="D17" s="12" t="inlineStr">
        <x:is>
          <x:t xml:space="preserve">Curate physicochemical, binding, clearance, and placental transfer values before any decision use.</x:t>
        </x:is>
      </x:c>
      <x:c r="E17" s="18" t="inlineStr">
        <x:is>
          <x:t xml:space="preserve"/>
        </x:is>
      </x:c>
      <x:c r="F17" s="18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e6a8472a7354fe4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4" customWidth="1"/>
    <x:col min="3" max="3" width="10" customWidth="1"/>
    <x:col min="4" max="4" width="16" customWidth="1"/>
    <x:col min="5" max="5" width="14" customWidth="1"/>
    <x:col min="6" max="6" width="16" customWidth="1"/>
    <x:col min="7" max="7" width="14" customWidth="1"/>
    <x:col min="8" max="8" width="14" customWidth="1"/>
    <x:col min="9" max="9" width="14" customWidth="1"/>
    <x:col min="10" max="10" width="22" customWidth="1"/>
    <x:col min="11" max="11" width="12" customWidth="1"/>
    <x:col min="12" max="12" width="18" customWidth="1"/>
    <x:col min="13" max="13" width="18" customWidth="1"/>
    <x:col min="14" max="14" width="14" customWidth="1"/>
    <x:col min="15" max="15" width="14" customWidth="1"/>
    <x:col min="16" max="16" width="14" customWidth="1"/>
    <x:col min="17" max="17" width="18" customWidth="1"/>
    <x:col min="18" max="18" width="16" customWidth="1"/>
    <x:col min="19" max="19" width="18" customWidth="1"/>
    <x:col min="20" max="20" width="14" customWidth="1"/>
    <x:col min="21" max="21" width="14" customWidth="1"/>
    <x:col min="22" max="22" width="18" customWidth="1"/>
    <x:col min="23" max="23" width="16" customWidth="1"/>
    <x:col min="24" max="24" width="20" customWidth="1"/>
    <x:col min="25" max="25" width="18" customWidth="1"/>
    <x:col min="26" max="26" width="18" customWidth="1"/>
    <x:col min="27" max="27" width="26" customWidth="1"/>
    <x:col min="28" max="28" width="22" customWidth="1"/>
    <x:col min="29" max="29" width="26" customWidth="1"/>
    <x:col min="30" max="30" width="12" customWidth="1"/>
    <x:col min="31" max="31" width="12" customWidth="1"/>
    <x:col min="32" max="32" width="60" customWidth="1"/>
  </x:cols>
  <x:sheetData>
    <x:row r="1">
      <x:c r="A1" s="4" t="inlineStr">
        <x:is>
          <x:t xml:space="preserve">Drug_ID</x:t>
        </x:is>
      </x:c>
      <x:c r="B1" s="4" t="inlineStr">
        <x:is>
          <x:t xml:space="preserve">Drug_name</x:t>
        </x:is>
      </x:c>
      <x:c r="C1" s="4" t="inlineStr">
        <x:is>
          <x:t xml:space="preserve">Trimester</x:t>
        </x:is>
      </x:c>
      <x:c r="D1" s="4" t="inlineStr">
        <x:is>
          <x:t xml:space="preserve">Dose_used_mg_day</x:t>
        </x:is>
      </x:c>
      <x:c r="E1" s="4" t="inlineStr">
        <x:is>
          <x:t xml:space="preserve">Bioavailability_F</x:t>
        </x:is>
      </x:c>
      <x:c r="F1" s="4" t="inlineStr">
        <x:is>
          <x:t xml:space="preserve">CL_nonpreg_L_hr</x:t>
        </x:is>
      </x:c>
      <x:c r="G1" s="4" t="inlineStr">
        <x:is>
          <x:t xml:space="preserve">Vc_nonpreg_L</x:t>
        </x:is>
      </x:c>
      <x:c r="H1" s="4" t="inlineStr">
        <x:is>
          <x:t xml:space="preserve">Renal_fraction</x:t>
        </x:is>
      </x:c>
      <x:c r="I1" s="4" t="inlineStr">
        <x:is>
          <x:t xml:space="preserve">Hepatic_fraction</x:t>
        </x:is>
      </x:c>
      <x:c r="J1" s="4" t="inlineStr">
        <x:is>
          <x:t xml:space="preserve">Protein_binding_sensitivity</x:t>
        </x:is>
      </x:c>
      <x:c r="K1" s="4" t="inlineStr">
        <x:is>
          <x:t xml:space="preserve">fu_plasma</x:t>
        </x:is>
      </x:c>
      <x:c r="L1" s="4" t="inlineStr">
        <x:is>
          <x:t xml:space="preserve">Placental_transfer_factor</x:t>
        </x:is>
      </x:c>
      <x:c r="M1" s="4" t="inlineStr">
        <x:is>
          <x:t xml:space="preserve">Fetal_accumulation_factor</x:t>
        </x:is>
      </x:c>
      <x:c r="N1" s="4" t="inlineStr">
        <x:is>
          <x:t xml:space="preserve">Fetal_tissue_Kp</x:t>
        </x:is>
      </x:c>
      <x:c r="O1" s="4" t="inlineStr">
        <x:is>
          <x:t xml:space="preserve">GFR_multiplier</x:t>
        </x:is>
      </x:c>
      <x:c r="P1" s="4" t="inlineStr">
        <x:is>
          <x:t xml:space="preserve">Hepatic_multiplier</x:t>
        </x:is>
      </x:c>
      <x:c r="Q1" s="4" t="inlineStr">
        <x:is>
          <x:t xml:space="preserve">Plasma_volume_multiplier</x:t>
        </x:is>
      </x:c>
      <x:c r="R1" s="4" t="inlineStr">
        <x:is>
          <x:t xml:space="preserve">Albumin_multiplier</x:t>
        </x:is>
      </x:c>
      <x:c r="S1" s="4" t="inlineStr">
        <x:is>
          <x:t xml:space="preserve">Placental_multiplier</x:t>
        </x:is>
      </x:c>
      <x:c r="T1" s="4" t="inlineStr">
        <x:is>
          <x:t xml:space="preserve">CL_preg_L_hr</x:t>
        </x:is>
      </x:c>
      <x:c r="U1" s="4" t="inlineStr">
        <x:is>
          <x:t xml:space="preserve">Vd_preg_L</x:t>
        </x:is>
      </x:c>
      <x:c r="V1" s="4" t="inlineStr">
        <x:is>
          <x:t xml:space="preserve">Maternal_AUC24_mg*h_L</x:t>
        </x:is>
      </x:c>
      <x:c r="W1" s="4" t="inlineStr">
        <x:is>
          <x:t xml:space="preserve">Maternal_Cavg_mg_L</x:t>
        </x:is>
      </x:c>
      <x:c r="X1" s="4" t="inlineStr">
        <x:is>
          <x:t xml:space="preserve">Maternal_unbound_Cavg_mg_L</x:t>
        </x:is>
      </x:c>
      <x:c r="Y1" s="4" t="inlineStr">
        <x:is>
          <x:t xml:space="preserve">Fetal_plasma_Cavg_mg_L</x:t>
        </x:is>
      </x:c>
      <x:c r="Z1" s="4" t="inlineStr">
        <x:is>
          <x:t xml:space="preserve">Fetal_tissue_Cavg_mg_L</x:t>
        </x:is>
      </x:c>
      <x:c r="AA1" s="4" t="inlineStr">
        <x:is>
          <x:t xml:space="preserve">Prototype_fetal_toxicity_threshold_mg_L</x:t>
        </x:is>
      </x:c>
      <x:c r="AB1" s="4" t="inlineStr">
        <x:is>
          <x:t xml:space="preserve">Exposure_flag</x:t>
        </x:is>
      </x:c>
      <x:c r="AC1" s="4" t="inlineStr">
        <x:is>
          <x:t xml:space="preserve">Model_status</x:t>
        </x:is>
      </x:c>
      <x:c r="AD1" s="4" t="inlineStr">
        <x:is>
          <x:t xml:space="preserve">DART_signal</x:t>
        </x:is>
      </x:c>
      <x:c r="AE1" s="4" t="inlineStr">
        <x:is>
          <x:t xml:space="preserve">Reference_URL</x:t>
        </x:is>
      </x:c>
    </x:row>
    <x:row r="2">
      <x:c r="A2" s="17" t="str">
        <x:f>Drug_PBPK_Parameters!A2</x:f>
        <x:v>DRUG-001</x:v>
      </x:c>
      <x:c r="B2" s="17" t="str">
        <x:f>Drug_PBPK_Parameters!B2</x:f>
        <x:v>Anastrozole</x:v>
      </x:c>
      <x:c r="C2" s="9" t="inlineStr">
        <x:is>
          <x:t xml:space="preserve">T1</x:t>
        </x:is>
      </x:c>
      <x:c r="D2" s="15">
        <x:f>Drug_PBPK_Parameters!H2</x:f>
        <x:v>1</x:v>
      </x:c>
      <x:c r="E2" s="20">
        <x:f>Drug_PBPK_Parameters!J2</x:f>
        <x:v>0.83</x:v>
      </x:c>
      <x:c r="F2" s="20">
        <x:f>Drug_PBPK_Parameters!L2</x:f>
        <x:v>8</x:v>
      </x:c>
      <x:c r="G2" s="20">
        <x:f>Drug_PBPK_Parameters!M2</x:f>
        <x:v>70</x:v>
      </x:c>
      <x:c r="H2" s="20">
        <x:f>Drug_PBPK_Parameters!S2</x:f>
        <x:v>0.1</x:v>
      </x:c>
      <x:c r="I2" s="20">
        <x:f>Drug_PBPK_Parameters!T2</x:f>
        <x:v>0.8</x:v>
      </x:c>
      <x:c r="J2" s="20">
        <x:f>Drug_PBPK_Parameters!U2</x:f>
        <x:v>0.3</x:v>
      </x:c>
      <x:c r="K2" s="20">
        <x:f>Drug_PBPK_Parameters!N2</x:f>
        <x:v>0.6</x:v>
      </x:c>
      <x:c r="L2" s="20">
        <x:f>Drug_PBPK_Parameters!V2</x:f>
        <x:v>0.7</x:v>
      </x:c>
      <x:c r="M2" s="20">
        <x:f>Drug_PBPK_Parameters!W2</x:f>
        <x:v>1</x:v>
      </x:c>
      <x:c r="N2" s="20">
        <x:f>Drug_PBPK_Parameters!X2</x:f>
        <x:v>1.2</x:v>
      </x:c>
      <x:c r="O2" s="20">
        <x:f>INDEX(Pregnancy_Physiology_Defaults!G:G,MATCH(C2,Pregnancy_Physiology_Defaults!A:A,0))</x:f>
        <x:v>1.3</x:v>
      </x:c>
      <x:c r="P2" s="20">
        <x:f>INDEX(Pregnancy_Physiology_Defaults!H:H,MATCH(C2,Pregnancy_Physiology_Defaults!A:A,0))</x:f>
        <x:v>1.05</x:v>
      </x:c>
      <x:c r="Q2" s="20">
        <x:f>INDEX(Pregnancy_Physiology_Defaults!E:E,MATCH(C2,Pregnancy_Physiology_Defaults!A:A,0))</x:f>
        <x:v>1.15</x:v>
      </x:c>
      <x:c r="R2" s="20">
        <x:f>INDEX(Pregnancy_Physiology_Defaults!F:F,MATCH(C2,Pregnancy_Physiology_Defaults!A:A,0))</x:f>
        <x:v>0.9</x:v>
      </x:c>
      <x:c r="S2" s="20">
        <x:f>INDEX(Pregnancy_Physiology_Defaults!I:I,MATCH(C2,Pregnancy_Physiology_Defaults!A:A,0))</x:f>
        <x:v>0.5</x:v>
      </x:c>
      <x:c r="T2" s="21">
        <x:f>F2*((H2*O2)+(I2*P2)+MAX(0,1-H2-I2))</x:f>
        <x:v>8.56</x:v>
      </x:c>
      <x:c r="U2" s="21">
        <x:f>G2*Q2*(1+(J2*(1-R2)))</x:f>
        <x:v>82.915</x:v>
      </x:c>
      <x:c r="V2" s="21">
        <x:f>IFERROR((D2*E2)/T2,"")</x:f>
        <x:v>0.09696261682242989</x:v>
      </x:c>
      <x:c r="W2" s="21">
        <x:f>IFERROR(V2/24,"")</x:f>
        <x:v>0.004040109034267912</x:v>
      </x:c>
      <x:c r="X2" s="21">
        <x:f>IFERROR(W2*K2,"")</x:f>
        <x:v>0.0024240654205607472</x:v>
      </x:c>
      <x:c r="Y2" s="21">
        <x:f>IFERROR(X2*L2*S2*M2,"")</x:f>
        <x:v>0.0008484228971962614</x:v>
      </x:c>
      <x:c r="Z2" s="21">
        <x:f>IFERROR(Y2*N2,"")</x:f>
        <x:v>0.0010181074766355137</x:v>
      </x:c>
      <x:c r="AA2" s="21">
        <x:f>Drug_PBPK_Parameters!Y2</x:f>
        <x:v>0.2</x:v>
      </x:c>
      <x:c r="AB2" s="22" t="str">
        <x:f>IF(AA2="","Needs threshold",IF(Z2&gt;=AA2,"Above prototype threshold","Below prototype threshold"))</x:f>
        <x:v>Below prototype threshold</x:v>
      </x:c>
      <x:c r="AC2" s="18" t="str">
        <x:f>Drug_PBPK_Parameters!C2</x:f>
        <x:v>No dedicated pregnancy PBPK identified in quick screen</x:v>
      </x:c>
      <x:c r="AD2" s="18" t="str">
        <x:f>Drug_PBPK_Parameters!Z2</x:f>
        <x:v>Positive</x:v>
      </x:c>
      <x:c r="AE2" s="18">
        <x:f>Drug_PBPK_Parameters!F2</x:f>
        <x:v>0</x:v>
      </x:c>
    </x:row>
    <x:row r="3">
      <x:c r="A3" s="17" t="str">
        <x:f>Drug_PBPK_Parameters!A2</x:f>
        <x:v>DRUG-001</x:v>
      </x:c>
      <x:c r="B3" s="17" t="str">
        <x:f>Drug_PBPK_Parameters!B2</x:f>
        <x:v>Anastrozole</x:v>
      </x:c>
      <x:c r="C3" s="9" t="inlineStr">
        <x:is>
          <x:t xml:space="preserve">T2</x:t>
        </x:is>
      </x:c>
      <x:c r="D3" s="15">
        <x:f>Drug_PBPK_Parameters!H2</x:f>
        <x:v>1</x:v>
      </x:c>
      <x:c r="E3" s="20">
        <x:f>Drug_PBPK_Parameters!J2</x:f>
        <x:v>0.83</x:v>
      </x:c>
      <x:c r="F3" s="20">
        <x:f>Drug_PBPK_Parameters!L2</x:f>
        <x:v>8</x:v>
      </x:c>
      <x:c r="G3" s="20">
        <x:f>Drug_PBPK_Parameters!M2</x:f>
        <x:v>70</x:v>
      </x:c>
      <x:c r="H3" s="20">
        <x:f>Drug_PBPK_Parameters!S2</x:f>
        <x:v>0.1</x:v>
      </x:c>
      <x:c r="I3" s="20">
        <x:f>Drug_PBPK_Parameters!T2</x:f>
        <x:v>0.8</x:v>
      </x:c>
      <x:c r="J3" s="20">
        <x:f>Drug_PBPK_Parameters!U2</x:f>
        <x:v>0.3</x:v>
      </x:c>
      <x:c r="K3" s="20">
        <x:f>Drug_PBPK_Parameters!N2</x:f>
        <x:v>0.6</x:v>
      </x:c>
      <x:c r="L3" s="20">
        <x:f>Drug_PBPK_Parameters!V2</x:f>
        <x:v>0.7</x:v>
      </x:c>
      <x:c r="M3" s="20">
        <x:f>Drug_PBPK_Parameters!W2</x:f>
        <x:v>1</x:v>
      </x:c>
      <x:c r="N3" s="20">
        <x:f>Drug_PBPK_Parameters!X2</x:f>
        <x:v>1.2</x:v>
      </x:c>
      <x:c r="O3" s="20">
        <x:f>INDEX(Pregnancy_Physiology_Defaults!G:G,MATCH(C3,Pregnancy_Physiology_Defaults!A:A,0))</x:f>
        <x:v>1.45</x:v>
      </x:c>
      <x:c r="P3" s="20">
        <x:f>INDEX(Pregnancy_Physiology_Defaults!H:H,MATCH(C3,Pregnancy_Physiology_Defaults!A:A,0))</x:f>
        <x:v>1.1</x:v>
      </x:c>
      <x:c r="Q3" s="20">
        <x:f>INDEX(Pregnancy_Physiology_Defaults!E:E,MATCH(C3,Pregnancy_Physiology_Defaults!A:A,0))</x:f>
        <x:v>1.35</x:v>
      </x:c>
      <x:c r="R3" s="20">
        <x:f>INDEX(Pregnancy_Physiology_Defaults!F:F,MATCH(C3,Pregnancy_Physiology_Defaults!A:A,0))</x:f>
        <x:v>0.8</x:v>
      </x:c>
      <x:c r="S3" s="20">
        <x:f>INDEX(Pregnancy_Physiology_Defaults!I:I,MATCH(C3,Pregnancy_Physiology_Defaults!A:A,0))</x:f>
        <x:v>0.8</x:v>
      </x:c>
      <x:c r="T3" s="21">
        <x:f>F3*((H3*O3)+(I3*P3)+MAX(0,1-H3-I3))</x:f>
        <x:v>9</x:v>
      </x:c>
      <x:c r="U3" s="21">
        <x:f>G3*Q3*(1+(J3*(1-R3)))</x:f>
        <x:v>100.17</x:v>
      </x:c>
      <x:c r="V3" s="21">
        <x:f>IFERROR((D3*E3)/T3,"")</x:f>
        <x:v>0.09222222222222222</x:v>
      </x:c>
      <x:c r="W3" s="21">
        <x:f>IFERROR(V3/24,"")</x:f>
        <x:v>0.0038425925925925923</x:v>
      </x:c>
      <x:c r="X3" s="21">
        <x:f>IFERROR(W3*K3,"")</x:f>
        <x:v>0.0023055555555555555</x:v>
      </x:c>
      <x:c r="Y3" s="21">
        <x:f>IFERROR(X3*L3*S3*M3,"")</x:f>
        <x:v>0.001291111111111111</x:v>
      </x:c>
      <x:c r="Z3" s="21">
        <x:f>IFERROR(Y3*N3,"")</x:f>
        <x:v>0.0015493333333333331</x:v>
      </x:c>
      <x:c r="AA3" s="21">
        <x:f>Drug_PBPK_Parameters!Y2</x:f>
        <x:v>0.2</x:v>
      </x:c>
      <x:c r="AB3" s="22" t="str">
        <x:f>IF(AA3="","Needs threshold",IF(Z3&gt;=AA3,"Above prototype threshold","Below prototype threshold"))</x:f>
        <x:v>Below prototype threshold</x:v>
      </x:c>
      <x:c r="AC3" s="18" t="str">
        <x:f>Drug_PBPK_Parameters!C2</x:f>
        <x:v>No dedicated pregnancy PBPK identified in quick screen</x:v>
      </x:c>
      <x:c r="AD3" s="18" t="str">
        <x:f>Drug_PBPK_Parameters!Z2</x:f>
        <x:v>Positive</x:v>
      </x:c>
      <x:c r="AE3" s="18">
        <x:f>Drug_PBPK_Parameters!F2</x:f>
        <x:v>0</x:v>
      </x:c>
    </x:row>
    <x:row r="4">
      <x:c r="A4" s="17" t="str">
        <x:f>Drug_PBPK_Parameters!A2</x:f>
        <x:v>DRUG-001</x:v>
      </x:c>
      <x:c r="B4" s="17" t="str">
        <x:f>Drug_PBPK_Parameters!B2</x:f>
        <x:v>Anastrozole</x:v>
      </x:c>
      <x:c r="C4" s="9" t="inlineStr">
        <x:is>
          <x:t xml:space="preserve">T3</x:t>
        </x:is>
      </x:c>
      <x:c r="D4" s="15">
        <x:f>Drug_PBPK_Parameters!H2</x:f>
        <x:v>1</x:v>
      </x:c>
      <x:c r="E4" s="20">
        <x:f>Drug_PBPK_Parameters!J2</x:f>
        <x:v>0.83</x:v>
      </x:c>
      <x:c r="F4" s="20">
        <x:f>Drug_PBPK_Parameters!L2</x:f>
        <x:v>8</x:v>
      </x:c>
      <x:c r="G4" s="20">
        <x:f>Drug_PBPK_Parameters!M2</x:f>
        <x:v>70</x:v>
      </x:c>
      <x:c r="H4" s="20">
        <x:f>Drug_PBPK_Parameters!S2</x:f>
        <x:v>0.1</x:v>
      </x:c>
      <x:c r="I4" s="20">
        <x:f>Drug_PBPK_Parameters!T2</x:f>
        <x:v>0.8</x:v>
      </x:c>
      <x:c r="J4" s="20">
        <x:f>Drug_PBPK_Parameters!U2</x:f>
        <x:v>0.3</x:v>
      </x:c>
      <x:c r="K4" s="20">
        <x:f>Drug_PBPK_Parameters!N2</x:f>
        <x:v>0.6</x:v>
      </x:c>
      <x:c r="L4" s="20">
        <x:f>Drug_PBPK_Parameters!V2</x:f>
        <x:v>0.7</x:v>
      </x:c>
      <x:c r="M4" s="20">
        <x:f>Drug_PBPK_Parameters!W2</x:f>
        <x:v>1</x:v>
      </x:c>
      <x:c r="N4" s="20">
        <x:f>Drug_PBPK_Parameters!X2</x:f>
        <x:v>1.2</x:v>
      </x:c>
      <x:c r="O4" s="20">
        <x:f>INDEX(Pregnancy_Physiology_Defaults!G:G,MATCH(C4,Pregnancy_Physiology_Defaults!A:A,0))</x:f>
        <x:v>1.5</x:v>
      </x:c>
      <x:c r="P4" s="20">
        <x:f>INDEX(Pregnancy_Physiology_Defaults!H:H,MATCH(C4,Pregnancy_Physiology_Defaults!A:A,0))</x:f>
        <x:v>1.15</x:v>
      </x:c>
      <x:c r="Q4" s="20">
        <x:f>INDEX(Pregnancy_Physiology_Defaults!E:E,MATCH(C4,Pregnancy_Physiology_Defaults!A:A,0))</x:f>
        <x:v>1.5</x:v>
      </x:c>
      <x:c r="R4" s="20">
        <x:f>INDEX(Pregnancy_Physiology_Defaults!F:F,MATCH(C4,Pregnancy_Physiology_Defaults!A:A,0))</x:f>
        <x:v>0.7</x:v>
      </x:c>
      <x:c r="S4" s="20">
        <x:f>INDEX(Pregnancy_Physiology_Defaults!I:I,MATCH(C4,Pregnancy_Physiology_Defaults!A:A,0))</x:f>
        <x:v>1</x:v>
      </x:c>
      <x:c r="T4" s="21">
        <x:f>F4*((H4*O4)+(I4*P4)+MAX(0,1-H4-I4))</x:f>
        <x:v>9.36</x:v>
      </x:c>
      <x:c r="U4" s="21">
        <x:f>G4*Q4*(1+(J4*(1-R4)))</x:f>
        <x:v>114.45</x:v>
      </x:c>
      <x:c r="V4" s="21">
        <x:f>IFERROR((D4*E4)/T4,"")</x:f>
        <x:v>0.08867521367521368</x:v>
      </x:c>
      <x:c r="W4" s="21">
        <x:f>IFERROR(V4/24,"")</x:f>
        <x:v>0.00369480056980057</x:v>
      </x:c>
      <x:c r="X4" s="21">
        <x:f>IFERROR(W4*K4,"")</x:f>
        <x:v>0.002216880341880342</x:v>
      </x:c>
      <x:c r="Y4" s="21">
        <x:f>IFERROR(X4*L4*S4*M4,"")</x:f>
        <x:v>0.0015518162393162393</x:v>
      </x:c>
      <x:c r="Z4" s="21">
        <x:f>IFERROR(Y4*N4,"")</x:f>
        <x:v>0.0018621794871794871</x:v>
      </x:c>
      <x:c r="AA4" s="21">
        <x:f>Drug_PBPK_Parameters!Y2</x:f>
        <x:v>0.2</x:v>
      </x:c>
      <x:c r="AB4" s="22" t="str">
        <x:f>IF(AA4="","Needs threshold",IF(Z4&gt;=AA4,"Above prototype threshold","Below prototype threshold"))</x:f>
        <x:v>Below prototype threshold</x:v>
      </x:c>
      <x:c r="AC4" s="18" t="str">
        <x:f>Drug_PBPK_Parameters!C2</x:f>
        <x:v>No dedicated pregnancy PBPK identified in quick screen</x:v>
      </x:c>
      <x:c r="AD4" s="18" t="str">
        <x:f>Drug_PBPK_Parameters!Z2</x:f>
        <x:v>Positive</x:v>
      </x:c>
      <x:c r="AE4" s="18">
        <x:f>Drug_PBPK_Parameters!F2</x:f>
        <x:v>0</x:v>
      </x:c>
    </x:row>
    <x:row r="5">
      <x:c r="A5" s="17" t="str">
        <x:f>Drug_PBPK_Parameters!A3</x:f>
        <x:v>DRUG-002</x:v>
      </x:c>
      <x:c r="B5" s="17" t="str">
        <x:f>Drug_PBPK_Parameters!B3</x:f>
        <x:v>Aspirin</x:v>
      </x:c>
      <x:c r="C5" s="9" t="inlineStr">
        <x:is>
          <x:t xml:space="preserve">T1</x:t>
        </x:is>
      </x:c>
      <x:c r="D5" s="15">
        <x:f>Drug_PBPK_Parameters!H3</x:f>
        <x:v>100</x:v>
      </x:c>
      <x:c r="E5" s="20">
        <x:f>Drug_PBPK_Parameters!J3</x:f>
        <x:v>0.68</x:v>
      </x:c>
      <x:c r="F5" s="20">
        <x:f>Drug_PBPK_Parameters!L3</x:f>
        <x:v>18</x:v>
      </x:c>
      <x:c r="G5" s="20">
        <x:f>Drug_PBPK_Parameters!M3</x:f>
        <x:v>12</x:v>
      </x:c>
      <x:c r="H5" s="20">
        <x:f>Drug_PBPK_Parameters!S3</x:f>
        <x:v>0.3</x:v>
      </x:c>
      <x:c r="I5" s="20">
        <x:f>Drug_PBPK_Parameters!T3</x:f>
        <x:v>0.6</x:v>
      </x:c>
      <x:c r="J5" s="20">
        <x:f>Drug_PBPK_Parameters!U3</x:f>
        <x:v>0.2</x:v>
      </x:c>
      <x:c r="K5" s="20">
        <x:f>Drug_PBPK_Parameters!N3</x:f>
        <x:v>0.15</x:v>
      </x:c>
      <x:c r="L5" s="20">
        <x:f>Drug_PBPK_Parameters!V3</x:f>
        <x:v>0.9</x:v>
      </x:c>
      <x:c r="M5" s="20">
        <x:f>Drug_PBPK_Parameters!W3</x:f>
        <x:v>1.1</x:v>
      </x:c>
      <x:c r="N5" s="20">
        <x:f>Drug_PBPK_Parameters!X3</x:f>
        <x:v>1.1</x:v>
      </x:c>
      <x:c r="O5" s="20">
        <x:f>INDEX(Pregnancy_Physiology_Defaults!G:G,MATCH(C5,Pregnancy_Physiology_Defaults!A:A,0))</x:f>
        <x:v>1.3</x:v>
      </x:c>
      <x:c r="P5" s="20">
        <x:f>INDEX(Pregnancy_Physiology_Defaults!H:H,MATCH(C5,Pregnancy_Physiology_Defaults!A:A,0))</x:f>
        <x:v>1.05</x:v>
      </x:c>
      <x:c r="Q5" s="20">
        <x:f>INDEX(Pregnancy_Physiology_Defaults!E:E,MATCH(C5,Pregnancy_Physiology_Defaults!A:A,0))</x:f>
        <x:v>1.15</x:v>
      </x:c>
      <x:c r="R5" s="20">
        <x:f>INDEX(Pregnancy_Physiology_Defaults!F:F,MATCH(C5,Pregnancy_Physiology_Defaults!A:A,0))</x:f>
        <x:v>0.9</x:v>
      </x:c>
      <x:c r="S5" s="20">
        <x:f>INDEX(Pregnancy_Physiology_Defaults!I:I,MATCH(C5,Pregnancy_Physiology_Defaults!A:A,0))</x:f>
        <x:v>0.5</x:v>
      </x:c>
      <x:c r="T5" s="21">
        <x:f>F5*((H5*O5)+(I5*P5)+MAX(0,1-H5-I5))</x:f>
        <x:v>20.160000000000004</x:v>
      </x:c>
      <x:c r="U5" s="21">
        <x:f>G5*Q5*(1+(J5*(1-R5)))</x:f>
        <x:v>14.075999999999999</x:v>
      </x:c>
      <x:c r="V5" s="21">
        <x:f>IFERROR((D5*E5)/T5,"")</x:f>
        <x:v>3.3730158730158726</x:v>
      </x:c>
      <x:c r="W5" s="21">
        <x:f>IFERROR(V5/24,"")</x:f>
        <x:v>0.14054232804232802</x:v>
      </x:c>
      <x:c r="X5" s="21">
        <x:f>IFERROR(W5*K5,"")</x:f>
        <x:v>0.021081349206349204</x:v>
      </x:c>
      <x:c r="Y5" s="21">
        <x:f>IFERROR(X5*L5*S5*M5,"")</x:f>
        <x:v>0.010435267857142856</x:v>
      </x:c>
      <x:c r="Z5" s="21">
        <x:f>IFERROR(Y5*N5,"")</x:f>
        <x:v>0.011478794642857143</x:v>
      </x:c>
      <x:c r="AA5" s="21">
        <x:f>Drug_PBPK_Parameters!Y3</x:f>
        <x:v>0.1</x:v>
      </x:c>
      <x:c r="AB5" s="22" t="str">
        <x:f>IF(AA5="","Needs threshold",IF(Z5&gt;=AA5,"Above prototype threshold","Below prototype threshold"))</x:f>
        <x:v>Below prototype threshold</x:v>
      </x:c>
      <x:c r="AC5" s="18" t="str">
        <x:f>Drug_PBPK_Parameters!C3</x:f>
        <x:v>Pregnancy PBPK available</x:v>
      </x:c>
      <x:c r="AD5" s="18" t="str">
        <x:f>Drug_PBPK_Parameters!Z3</x:f>
        <x:v>Positive</x:v>
      </x:c>
      <x:c r="AE5" s="18" t="str">
        <x:f>Drug_PBPK_Parameters!F3</x:f>
        <x:v>https://pubmed.ncbi.nlm.nih.gov/41574863 ; https://pubmed.ncbi.nlm.nih.gov/31051121</x:v>
      </x:c>
    </x:row>
    <x:row r="6">
      <x:c r="A6" s="17" t="str">
        <x:f>Drug_PBPK_Parameters!A3</x:f>
        <x:v>DRUG-002</x:v>
      </x:c>
      <x:c r="B6" s="17" t="str">
        <x:f>Drug_PBPK_Parameters!B3</x:f>
        <x:v>Aspirin</x:v>
      </x:c>
      <x:c r="C6" s="9" t="inlineStr">
        <x:is>
          <x:t xml:space="preserve">T2</x:t>
        </x:is>
      </x:c>
      <x:c r="D6" s="15">
        <x:f>Drug_PBPK_Parameters!H3</x:f>
        <x:v>100</x:v>
      </x:c>
      <x:c r="E6" s="20">
        <x:f>Drug_PBPK_Parameters!J3</x:f>
        <x:v>0.68</x:v>
      </x:c>
      <x:c r="F6" s="20">
        <x:f>Drug_PBPK_Parameters!L3</x:f>
        <x:v>18</x:v>
      </x:c>
      <x:c r="G6" s="20">
        <x:f>Drug_PBPK_Parameters!M3</x:f>
        <x:v>12</x:v>
      </x:c>
      <x:c r="H6" s="20">
        <x:f>Drug_PBPK_Parameters!S3</x:f>
        <x:v>0.3</x:v>
      </x:c>
      <x:c r="I6" s="20">
        <x:f>Drug_PBPK_Parameters!T3</x:f>
        <x:v>0.6</x:v>
      </x:c>
      <x:c r="J6" s="20">
        <x:f>Drug_PBPK_Parameters!U3</x:f>
        <x:v>0.2</x:v>
      </x:c>
      <x:c r="K6" s="20">
        <x:f>Drug_PBPK_Parameters!N3</x:f>
        <x:v>0.15</x:v>
      </x:c>
      <x:c r="L6" s="20">
        <x:f>Drug_PBPK_Parameters!V3</x:f>
        <x:v>0.9</x:v>
      </x:c>
      <x:c r="M6" s="20">
        <x:f>Drug_PBPK_Parameters!W3</x:f>
        <x:v>1.1</x:v>
      </x:c>
      <x:c r="N6" s="20">
        <x:f>Drug_PBPK_Parameters!X3</x:f>
        <x:v>1.1</x:v>
      </x:c>
      <x:c r="O6" s="20">
        <x:f>INDEX(Pregnancy_Physiology_Defaults!G:G,MATCH(C6,Pregnancy_Physiology_Defaults!A:A,0))</x:f>
        <x:v>1.45</x:v>
      </x:c>
      <x:c r="P6" s="20">
        <x:f>INDEX(Pregnancy_Physiology_Defaults!H:H,MATCH(C6,Pregnancy_Physiology_Defaults!A:A,0))</x:f>
        <x:v>1.1</x:v>
      </x:c>
      <x:c r="Q6" s="20">
        <x:f>INDEX(Pregnancy_Physiology_Defaults!E:E,MATCH(C6,Pregnancy_Physiology_Defaults!A:A,0))</x:f>
        <x:v>1.35</x:v>
      </x:c>
      <x:c r="R6" s="20">
        <x:f>INDEX(Pregnancy_Physiology_Defaults!F:F,MATCH(C6,Pregnancy_Physiology_Defaults!A:A,0))</x:f>
        <x:v>0.8</x:v>
      </x:c>
      <x:c r="S6" s="20">
        <x:f>INDEX(Pregnancy_Physiology_Defaults!I:I,MATCH(C6,Pregnancy_Physiology_Defaults!A:A,0))</x:f>
        <x:v>0.8</x:v>
      </x:c>
      <x:c r="T6" s="21">
        <x:f>F6*((H6*O6)+(I6*P6)+MAX(0,1-H6-I6))</x:f>
        <x:v>21.509999999999998</x:v>
      </x:c>
      <x:c r="U6" s="21">
        <x:f>G6*Q6*(1+(J6*(1-R6)))</x:f>
        <x:v>16.848000000000003</x:v>
      </x:c>
      <x:c r="V6" s="21">
        <x:f>IFERROR((D6*E6)/T6,"")</x:f>
        <x:v>3.161320316132032</x:v>
      </x:c>
      <x:c r="W6" s="21">
        <x:f>IFERROR(V6/24,"")</x:f>
        <x:v>0.13172167983883468</x:v>
      </x:c>
      <x:c r="X6" s="21">
        <x:f>IFERROR(W6*K6,"")</x:f>
        <x:v>0.0197582519758252</x:v>
      </x:c>
      <x:c r="Y6" s="21">
        <x:f>IFERROR(X6*L6*S6*M6,"")</x:f>
        <x:v>0.01564853556485356</x:v>
      </x:c>
      <x:c r="Z6" s="21">
        <x:f>IFERROR(Y6*N6,"")</x:f>
        <x:v>0.01721338912133892</x:v>
      </x:c>
      <x:c r="AA6" s="21">
        <x:f>Drug_PBPK_Parameters!Y3</x:f>
        <x:v>0.1</x:v>
      </x:c>
      <x:c r="AB6" s="22" t="str">
        <x:f>IF(AA6="","Needs threshold",IF(Z6&gt;=AA6,"Above prototype threshold","Below prototype threshold"))</x:f>
        <x:v>Below prototype threshold</x:v>
      </x:c>
      <x:c r="AC6" s="18" t="str">
        <x:f>Drug_PBPK_Parameters!C3</x:f>
        <x:v>Pregnancy PBPK available</x:v>
      </x:c>
      <x:c r="AD6" s="18" t="str">
        <x:f>Drug_PBPK_Parameters!Z3</x:f>
        <x:v>Positive</x:v>
      </x:c>
      <x:c r="AE6" s="18" t="str">
        <x:f>Drug_PBPK_Parameters!F3</x:f>
        <x:v>https://pubmed.ncbi.nlm.nih.gov/41574863 ; https://pubmed.ncbi.nlm.nih.gov/31051121</x:v>
      </x:c>
    </x:row>
    <x:row r="7">
      <x:c r="A7" s="17" t="str">
        <x:f>Drug_PBPK_Parameters!A3</x:f>
        <x:v>DRUG-002</x:v>
      </x:c>
      <x:c r="B7" s="17" t="str">
        <x:f>Drug_PBPK_Parameters!B3</x:f>
        <x:v>Aspirin</x:v>
      </x:c>
      <x:c r="C7" s="9" t="inlineStr">
        <x:is>
          <x:t xml:space="preserve">T3</x:t>
        </x:is>
      </x:c>
      <x:c r="D7" s="15">
        <x:f>Drug_PBPK_Parameters!H3</x:f>
        <x:v>100</x:v>
      </x:c>
      <x:c r="E7" s="20">
        <x:f>Drug_PBPK_Parameters!J3</x:f>
        <x:v>0.68</x:v>
      </x:c>
      <x:c r="F7" s="20">
        <x:f>Drug_PBPK_Parameters!L3</x:f>
        <x:v>18</x:v>
      </x:c>
      <x:c r="G7" s="20">
        <x:f>Drug_PBPK_Parameters!M3</x:f>
        <x:v>12</x:v>
      </x:c>
      <x:c r="H7" s="20">
        <x:f>Drug_PBPK_Parameters!S3</x:f>
        <x:v>0.3</x:v>
      </x:c>
      <x:c r="I7" s="20">
        <x:f>Drug_PBPK_Parameters!T3</x:f>
        <x:v>0.6</x:v>
      </x:c>
      <x:c r="J7" s="20">
        <x:f>Drug_PBPK_Parameters!U3</x:f>
        <x:v>0.2</x:v>
      </x:c>
      <x:c r="K7" s="20">
        <x:f>Drug_PBPK_Parameters!N3</x:f>
        <x:v>0.15</x:v>
      </x:c>
      <x:c r="L7" s="20">
        <x:f>Drug_PBPK_Parameters!V3</x:f>
        <x:v>0.9</x:v>
      </x:c>
      <x:c r="M7" s="20">
        <x:f>Drug_PBPK_Parameters!W3</x:f>
        <x:v>1.1</x:v>
      </x:c>
      <x:c r="N7" s="20">
        <x:f>Drug_PBPK_Parameters!X3</x:f>
        <x:v>1.1</x:v>
      </x:c>
      <x:c r="O7" s="20">
        <x:f>INDEX(Pregnancy_Physiology_Defaults!G:G,MATCH(C7,Pregnancy_Physiology_Defaults!A:A,0))</x:f>
        <x:v>1.5</x:v>
      </x:c>
      <x:c r="P7" s="20">
        <x:f>INDEX(Pregnancy_Physiology_Defaults!H:H,MATCH(C7,Pregnancy_Physiology_Defaults!A:A,0))</x:f>
        <x:v>1.15</x:v>
      </x:c>
      <x:c r="Q7" s="20">
        <x:f>INDEX(Pregnancy_Physiology_Defaults!E:E,MATCH(C7,Pregnancy_Physiology_Defaults!A:A,0))</x:f>
        <x:v>1.5</x:v>
      </x:c>
      <x:c r="R7" s="20">
        <x:f>INDEX(Pregnancy_Physiology_Defaults!F:F,MATCH(C7,Pregnancy_Physiology_Defaults!A:A,0))</x:f>
        <x:v>0.7</x:v>
      </x:c>
      <x:c r="S7" s="20">
        <x:f>INDEX(Pregnancy_Physiology_Defaults!I:I,MATCH(C7,Pregnancy_Physiology_Defaults!A:A,0))</x:f>
        <x:v>1</x:v>
      </x:c>
      <x:c r="T7" s="21">
        <x:f>F7*((H7*O7)+(I7*P7)+MAX(0,1-H7-I7))</x:f>
        <x:v>22.319999999999997</x:v>
      </x:c>
      <x:c r="U7" s="21">
        <x:f>G7*Q7*(1+(J7*(1-R7)))</x:f>
        <x:v>19.080000000000002</x:v>
      </x:c>
      <x:c r="V7" s="21">
        <x:f>IFERROR((D7*E7)/T7,"")</x:f>
        <x:v>3.0465949820788536</x:v>
      </x:c>
      <x:c r="W7" s="21">
        <x:f>IFERROR(V7/24,"")</x:f>
        <x:v>0.1269414575866189</x:v>
      </x:c>
      <x:c r="X7" s="21">
        <x:f>IFERROR(W7*K7,"")</x:f>
        <x:v>0.019041218637992834</x:v>
      </x:c>
      <x:c r="Y7" s="21">
        <x:f>IFERROR(X7*L7*S7*M7,"")</x:f>
        <x:v>0.018850806451612908</x:v>
      </x:c>
      <x:c r="Z7" s="21">
        <x:f>IFERROR(Y7*N7,"")</x:f>
        <x:v>0.0207358870967742</x:v>
      </x:c>
      <x:c r="AA7" s="21">
        <x:f>Drug_PBPK_Parameters!Y3</x:f>
        <x:v>0.1</x:v>
      </x:c>
      <x:c r="AB7" s="22" t="str">
        <x:f>IF(AA7="","Needs threshold",IF(Z7&gt;=AA7,"Above prototype threshold","Below prototype threshold"))</x:f>
        <x:v>Below prototype threshold</x:v>
      </x:c>
      <x:c r="AC7" s="18" t="str">
        <x:f>Drug_PBPK_Parameters!C3</x:f>
        <x:v>Pregnancy PBPK available</x:v>
      </x:c>
      <x:c r="AD7" s="18" t="str">
        <x:f>Drug_PBPK_Parameters!Z3</x:f>
        <x:v>Positive</x:v>
      </x:c>
      <x:c r="AE7" s="18" t="str">
        <x:f>Drug_PBPK_Parameters!F3</x:f>
        <x:v>https://pubmed.ncbi.nlm.nih.gov/41574863 ; https://pubmed.ncbi.nlm.nih.gov/31051121</x:v>
      </x:c>
    </x:row>
    <x:row r="8">
      <x:c r="A8" s="17" t="str">
        <x:f>Drug_PBPK_Parameters!A4</x:f>
        <x:v>DRUG-003</x:v>
      </x:c>
      <x:c r="B8" s="17" t="str">
        <x:f>Drug_PBPK_Parameters!B4</x:f>
        <x:v>Azithromycin</x:v>
      </x:c>
      <x:c r="C8" s="9" t="inlineStr">
        <x:is>
          <x:t xml:space="preserve">T1</x:t>
        </x:is>
      </x:c>
      <x:c r="D8" s="15">
        <x:f>Drug_PBPK_Parameters!H4</x:f>
        <x:v>500</x:v>
      </x:c>
      <x:c r="E8" s="20">
        <x:f>Drug_PBPK_Parameters!J4</x:f>
        <x:v>0.37</x:v>
      </x:c>
      <x:c r="F8" s="20">
        <x:f>Drug_PBPK_Parameters!L4</x:f>
        <x:v>25</x:v>
      </x:c>
      <x:c r="G8" s="20">
        <x:f>Drug_PBPK_Parameters!M4</x:f>
        <x:v>800</x:v>
      </x:c>
      <x:c r="H8" s="20">
        <x:f>Drug_PBPK_Parameters!S4</x:f>
        <x:v>0.1</x:v>
      </x:c>
      <x:c r="I8" s="20">
        <x:f>Drug_PBPK_Parameters!T4</x:f>
        <x:v>0.7</x:v>
      </x:c>
      <x:c r="J8" s="20">
        <x:f>Drug_PBPK_Parameters!U4</x:f>
        <x:v>0.4</x:v>
      </x:c>
      <x:c r="K8" s="20">
        <x:f>Drug_PBPK_Parameters!N4</x:f>
        <x:v>0.3</x:v>
      </x:c>
      <x:c r="L8" s="20">
        <x:f>Drug_PBPK_Parameters!V4</x:f>
        <x:v>0.8</x:v>
      </x:c>
      <x:c r="M8" s="20">
        <x:f>Drug_PBPK_Parameters!W4</x:f>
        <x:v>1</x:v>
      </x:c>
      <x:c r="N8" s="20">
        <x:f>Drug_PBPK_Parameters!X4</x:f>
        <x:v>1.3</x:v>
      </x:c>
      <x:c r="O8" s="20">
        <x:f>INDEX(Pregnancy_Physiology_Defaults!G:G,MATCH(C8,Pregnancy_Physiology_Defaults!A:A,0))</x:f>
        <x:v>1.3</x:v>
      </x:c>
      <x:c r="P8" s="20">
        <x:f>INDEX(Pregnancy_Physiology_Defaults!H:H,MATCH(C8,Pregnancy_Physiology_Defaults!A:A,0))</x:f>
        <x:v>1.05</x:v>
      </x:c>
      <x:c r="Q8" s="20">
        <x:f>INDEX(Pregnancy_Physiology_Defaults!E:E,MATCH(C8,Pregnancy_Physiology_Defaults!A:A,0))</x:f>
        <x:v>1.15</x:v>
      </x:c>
      <x:c r="R8" s="20">
        <x:f>INDEX(Pregnancy_Physiology_Defaults!F:F,MATCH(C8,Pregnancy_Physiology_Defaults!A:A,0))</x:f>
        <x:v>0.9</x:v>
      </x:c>
      <x:c r="S8" s="20">
        <x:f>INDEX(Pregnancy_Physiology_Defaults!I:I,MATCH(C8,Pregnancy_Physiology_Defaults!A:A,0))</x:f>
        <x:v>0.5</x:v>
      </x:c>
      <x:c r="T8" s="21">
        <x:f>F8*((H8*O8)+(I8*P8)+MAX(0,1-H8-I8))</x:f>
        <x:v>26.625</x:v>
      </x:c>
      <x:c r="U8" s="21">
        <x:f>G8*Q8*(1+(J8*(1-R8)))</x:f>
        <x:v>956.8</x:v>
      </x:c>
      <x:c r="V8" s="21">
        <x:f>IFERROR((D8*E8)/T8,"")</x:f>
        <x:v>6.948356807511737</x:v>
      </x:c>
      <x:c r="W8" s="21">
        <x:f>IFERROR(V8/24,"")</x:f>
        <x:v>0.2895148669796557</x:v>
      </x:c>
      <x:c r="X8" s="21">
        <x:f>IFERROR(W8*K8,"")</x:f>
        <x:v>0.08685446009389672</x:v>
      </x:c>
      <x:c r="Y8" s="21">
        <x:f>IFERROR(X8*L8*S8*M8,"")</x:f>
        <x:v>0.03474178403755869</x:v>
      </x:c>
      <x:c r="Z8" s="21">
        <x:f>IFERROR(Y8*N8,"")</x:f>
        <x:v>0.0451643192488263</x:v>
      </x:c>
      <x:c r="AA8" s="21">
        <x:f>Drug_PBPK_Parameters!Y4</x:f>
        <x:v>0.3</x:v>
      </x:c>
      <x:c r="AB8" s="22" t="str">
        <x:f>IF(AA8="","Needs threshold",IF(Z8&gt;=AA8,"Above prototype threshold","Below prototype threshold"))</x:f>
        <x:v>Below prototype threshold</x:v>
      </x:c>
      <x:c r="AC8" s="18" t="str">
        <x:f>Drug_PBPK_Parameters!C4</x:f>
        <x:v>Observed pregnancy popPK available</x:v>
      </x:c>
      <x:c r="AD8" s="18" t="str">
        <x:f>Drug_PBPK_Parameters!Z4</x:f>
        <x:v>Mixed</x:v>
      </x:c>
      <x:c r="AE8" s="18" t="str">
        <x:f>Drug_PBPK_Parameters!F4</x:f>
        <x:v>https://pubmed.ncbi.nlm.nih.gov/22106226</x:v>
      </x:c>
    </x:row>
    <x:row r="9">
      <x:c r="A9" s="17" t="str">
        <x:f>Drug_PBPK_Parameters!A4</x:f>
        <x:v>DRUG-003</x:v>
      </x:c>
      <x:c r="B9" s="17" t="str">
        <x:f>Drug_PBPK_Parameters!B4</x:f>
        <x:v>Azithromycin</x:v>
      </x:c>
      <x:c r="C9" s="9" t="inlineStr">
        <x:is>
          <x:t xml:space="preserve">T2</x:t>
        </x:is>
      </x:c>
      <x:c r="D9" s="15">
        <x:f>Drug_PBPK_Parameters!H4</x:f>
        <x:v>500</x:v>
      </x:c>
      <x:c r="E9" s="20">
        <x:f>Drug_PBPK_Parameters!J4</x:f>
        <x:v>0.37</x:v>
      </x:c>
      <x:c r="F9" s="20">
        <x:f>Drug_PBPK_Parameters!L4</x:f>
        <x:v>25</x:v>
      </x:c>
      <x:c r="G9" s="20">
        <x:f>Drug_PBPK_Parameters!M4</x:f>
        <x:v>800</x:v>
      </x:c>
      <x:c r="H9" s="20">
        <x:f>Drug_PBPK_Parameters!S4</x:f>
        <x:v>0.1</x:v>
      </x:c>
      <x:c r="I9" s="20">
        <x:f>Drug_PBPK_Parameters!T4</x:f>
        <x:v>0.7</x:v>
      </x:c>
      <x:c r="J9" s="20">
        <x:f>Drug_PBPK_Parameters!U4</x:f>
        <x:v>0.4</x:v>
      </x:c>
      <x:c r="K9" s="20">
        <x:f>Drug_PBPK_Parameters!N4</x:f>
        <x:v>0.3</x:v>
      </x:c>
      <x:c r="L9" s="20">
        <x:f>Drug_PBPK_Parameters!V4</x:f>
        <x:v>0.8</x:v>
      </x:c>
      <x:c r="M9" s="20">
        <x:f>Drug_PBPK_Parameters!W4</x:f>
        <x:v>1</x:v>
      </x:c>
      <x:c r="N9" s="20">
        <x:f>Drug_PBPK_Parameters!X4</x:f>
        <x:v>1.3</x:v>
      </x:c>
      <x:c r="O9" s="20">
        <x:f>INDEX(Pregnancy_Physiology_Defaults!G:G,MATCH(C9,Pregnancy_Physiology_Defaults!A:A,0))</x:f>
        <x:v>1.45</x:v>
      </x:c>
      <x:c r="P9" s="20">
        <x:f>INDEX(Pregnancy_Physiology_Defaults!H:H,MATCH(C9,Pregnancy_Physiology_Defaults!A:A,0))</x:f>
        <x:v>1.1</x:v>
      </x:c>
      <x:c r="Q9" s="20">
        <x:f>INDEX(Pregnancy_Physiology_Defaults!E:E,MATCH(C9,Pregnancy_Physiology_Defaults!A:A,0))</x:f>
        <x:v>1.35</x:v>
      </x:c>
      <x:c r="R9" s="20">
        <x:f>INDEX(Pregnancy_Physiology_Defaults!F:F,MATCH(C9,Pregnancy_Physiology_Defaults!A:A,0))</x:f>
        <x:v>0.8</x:v>
      </x:c>
      <x:c r="S9" s="20">
        <x:f>INDEX(Pregnancy_Physiology_Defaults!I:I,MATCH(C9,Pregnancy_Physiology_Defaults!A:A,0))</x:f>
        <x:v>0.8</x:v>
      </x:c>
      <x:c r="T9" s="21">
        <x:f>F9*((H9*O9)+(I9*P9)+MAX(0,1-H9-I9))</x:f>
        <x:v>27.875000000000007</x:v>
      </x:c>
      <x:c r="U9" s="21">
        <x:f>G9*Q9*(1+(J9*(1-R9)))</x:f>
        <x:v>1166.4</x:v>
      </x:c>
      <x:c r="V9" s="21">
        <x:f>IFERROR((D9*E9)/T9,"")</x:f>
        <x:v>6.636771300448429</x:v>
      </x:c>
      <x:c r="W9" s="21">
        <x:f>IFERROR(V9/24,"")</x:f>
        <x:v>0.27653213751868455</x:v>
      </x:c>
      <x:c r="X9" s="21">
        <x:f>IFERROR(W9*K9,"")</x:f>
        <x:v>0.08295964125560536</x:v>
      </x:c>
      <x:c r="Y9" s="21">
        <x:f>IFERROR(X9*L9*S9*M9,"")</x:f>
        <x:v>0.05309417040358743</x:v>
      </x:c>
      <x:c r="Z9" s="21">
        <x:f>IFERROR(Y9*N9,"")</x:f>
        <x:v>0.06902242152466366</x:v>
      </x:c>
      <x:c r="AA9" s="21">
        <x:f>Drug_PBPK_Parameters!Y4</x:f>
        <x:v>0.3</x:v>
      </x:c>
      <x:c r="AB9" s="22" t="str">
        <x:f>IF(AA9="","Needs threshold",IF(Z9&gt;=AA9,"Above prototype threshold","Below prototype threshold"))</x:f>
        <x:v>Below prototype threshold</x:v>
      </x:c>
      <x:c r="AC9" s="18" t="str">
        <x:f>Drug_PBPK_Parameters!C4</x:f>
        <x:v>Observed pregnancy popPK available</x:v>
      </x:c>
      <x:c r="AD9" s="18" t="str">
        <x:f>Drug_PBPK_Parameters!Z4</x:f>
        <x:v>Mixed</x:v>
      </x:c>
      <x:c r="AE9" s="18" t="str">
        <x:f>Drug_PBPK_Parameters!F4</x:f>
        <x:v>https://pubmed.ncbi.nlm.nih.gov/22106226</x:v>
      </x:c>
    </x:row>
    <x:row r="10">
      <x:c r="A10" s="17" t="str">
        <x:f>Drug_PBPK_Parameters!A4</x:f>
        <x:v>DRUG-003</x:v>
      </x:c>
      <x:c r="B10" s="17" t="str">
        <x:f>Drug_PBPK_Parameters!B4</x:f>
        <x:v>Azithromycin</x:v>
      </x:c>
      <x:c r="C10" s="9" t="inlineStr">
        <x:is>
          <x:t xml:space="preserve">T3</x:t>
        </x:is>
      </x:c>
      <x:c r="D10" s="15">
        <x:f>Drug_PBPK_Parameters!H4</x:f>
        <x:v>500</x:v>
      </x:c>
      <x:c r="E10" s="20">
        <x:f>Drug_PBPK_Parameters!J4</x:f>
        <x:v>0.37</x:v>
      </x:c>
      <x:c r="F10" s="20">
        <x:f>Drug_PBPK_Parameters!L4</x:f>
        <x:v>25</x:v>
      </x:c>
      <x:c r="G10" s="20">
        <x:f>Drug_PBPK_Parameters!M4</x:f>
        <x:v>800</x:v>
      </x:c>
      <x:c r="H10" s="20">
        <x:f>Drug_PBPK_Parameters!S4</x:f>
        <x:v>0.1</x:v>
      </x:c>
      <x:c r="I10" s="20">
        <x:f>Drug_PBPK_Parameters!T4</x:f>
        <x:v>0.7</x:v>
      </x:c>
      <x:c r="J10" s="20">
        <x:f>Drug_PBPK_Parameters!U4</x:f>
        <x:v>0.4</x:v>
      </x:c>
      <x:c r="K10" s="20">
        <x:f>Drug_PBPK_Parameters!N4</x:f>
        <x:v>0.3</x:v>
      </x:c>
      <x:c r="L10" s="20">
        <x:f>Drug_PBPK_Parameters!V4</x:f>
        <x:v>0.8</x:v>
      </x:c>
      <x:c r="M10" s="20">
        <x:f>Drug_PBPK_Parameters!W4</x:f>
        <x:v>1</x:v>
      </x:c>
      <x:c r="N10" s="20">
        <x:f>Drug_PBPK_Parameters!X4</x:f>
        <x:v>1.3</x:v>
      </x:c>
      <x:c r="O10" s="20">
        <x:f>INDEX(Pregnancy_Physiology_Defaults!G:G,MATCH(C10,Pregnancy_Physiology_Defaults!A:A,0))</x:f>
        <x:v>1.5</x:v>
      </x:c>
      <x:c r="P10" s="20">
        <x:f>INDEX(Pregnancy_Physiology_Defaults!H:H,MATCH(C10,Pregnancy_Physiology_Defaults!A:A,0))</x:f>
        <x:v>1.15</x:v>
      </x:c>
      <x:c r="Q10" s="20">
        <x:f>INDEX(Pregnancy_Physiology_Defaults!E:E,MATCH(C10,Pregnancy_Physiology_Defaults!A:A,0))</x:f>
        <x:v>1.5</x:v>
      </x:c>
      <x:c r="R10" s="20">
        <x:f>INDEX(Pregnancy_Physiology_Defaults!F:F,MATCH(C10,Pregnancy_Physiology_Defaults!A:A,0))</x:f>
        <x:v>0.7</x:v>
      </x:c>
      <x:c r="S10" s="20">
        <x:f>INDEX(Pregnancy_Physiology_Defaults!I:I,MATCH(C10,Pregnancy_Physiology_Defaults!A:A,0))</x:f>
        <x:v>1</x:v>
      </x:c>
      <x:c r="T10" s="21">
        <x:f>F10*((H10*O10)+(I10*P10)+MAX(0,1-H10-I10))</x:f>
        <x:v>28.875</x:v>
      </x:c>
      <x:c r="U10" s="21">
        <x:f>G10*Q10*(1+(J10*(1-R10)))</x:f>
        <x:v>1344.0000000000002</x:v>
      </x:c>
      <x:c r="V10" s="21">
        <x:f>IFERROR((D10*E10)/T10,"")</x:f>
        <x:v>6.406926406926407</x:v>
      </x:c>
      <x:c r="W10" s="21">
        <x:f>IFERROR(V10/24,"")</x:f>
        <x:v>0.26695526695526695</x:v>
      </x:c>
      <x:c r="X10" s="21">
        <x:f>IFERROR(W10*K10,"")</x:f>
        <x:v>0.08008658008658008</x:v>
      </x:c>
      <x:c r="Y10" s="21">
        <x:f>IFERROR(X10*L10*S10*M10,"")</x:f>
        <x:v>0.06406926406926407</x:v>
      </x:c>
      <x:c r="Z10" s="21">
        <x:f>IFERROR(Y10*N10,"")</x:f>
        <x:v>0.08329004329004329</x:v>
      </x:c>
      <x:c r="AA10" s="21">
        <x:f>Drug_PBPK_Parameters!Y4</x:f>
        <x:v>0.3</x:v>
      </x:c>
      <x:c r="AB10" s="22" t="str">
        <x:f>IF(AA10="","Needs threshold",IF(Z10&gt;=AA10,"Above prototype threshold","Below prototype threshold"))</x:f>
        <x:v>Below prototype threshold</x:v>
      </x:c>
      <x:c r="AC10" s="18" t="str">
        <x:f>Drug_PBPK_Parameters!C4</x:f>
        <x:v>Observed pregnancy popPK available</x:v>
      </x:c>
      <x:c r="AD10" s="18" t="str">
        <x:f>Drug_PBPK_Parameters!Z4</x:f>
        <x:v>Mixed</x:v>
      </x:c>
      <x:c r="AE10" s="18" t="str">
        <x:f>Drug_PBPK_Parameters!F4</x:f>
        <x:v>https://pubmed.ncbi.nlm.nih.gov/22106226</x:v>
      </x:c>
    </x:row>
    <x:row r="11">
      <x:c r="A11" s="17" t="str">
        <x:f>Drug_PBPK_Parameters!A5</x:f>
        <x:v>DRUG-004</x:v>
      </x:c>
      <x:c r="B11" s="17" t="str">
        <x:f>Drug_PBPK_Parameters!B5</x:f>
        <x:v>Cladribine</x:v>
      </x:c>
      <x:c r="C11" s="9" t="inlineStr">
        <x:is>
          <x:t xml:space="preserve">T1</x:t>
        </x:is>
      </x:c>
      <x:c r="D11" s="15">
        <x:f>Drug_PBPK_Parameters!H5</x:f>
        <x:v>10</x:v>
      </x:c>
      <x:c r="E11" s="20">
        <x:f>Drug_PBPK_Parameters!J5</x:f>
        <x:v>0.45</x:v>
      </x:c>
      <x:c r="F11" s="20">
        <x:f>Drug_PBPK_Parameters!L5</x:f>
        <x:v>28</x:v>
      </x:c>
      <x:c r="G11" s="20">
        <x:f>Drug_PBPK_Parameters!M5</x:f>
        <x:v>480</x:v>
      </x:c>
      <x:c r="H11" s="20">
        <x:f>Drug_PBPK_Parameters!S5</x:f>
        <x:v>0.5</x:v>
      </x:c>
      <x:c r="I11" s="20">
        <x:f>Drug_PBPK_Parameters!T5</x:f>
        <x:v>0.2</x:v>
      </x:c>
      <x:c r="J11" s="20">
        <x:f>Drug_PBPK_Parameters!U5</x:f>
        <x:v>0.1</x:v>
      </x:c>
      <x:c r="K11" s="20">
        <x:f>Drug_PBPK_Parameters!N5</x:f>
        <x:v>0.8</x:v>
      </x:c>
      <x:c r="L11" s="20">
        <x:f>Drug_PBPK_Parameters!V5</x:f>
        <x:v>0.85</x:v>
      </x:c>
      <x:c r="M11" s="20">
        <x:f>Drug_PBPK_Parameters!W5</x:f>
        <x:v>1</x:v>
      </x:c>
      <x:c r="N11" s="20">
        <x:f>Drug_PBPK_Parameters!X5</x:f>
        <x:v>1</x:v>
      </x:c>
      <x:c r="O11" s="20">
        <x:f>INDEX(Pregnancy_Physiology_Defaults!G:G,MATCH(C11,Pregnancy_Physiology_Defaults!A:A,0))</x:f>
        <x:v>1.3</x:v>
      </x:c>
      <x:c r="P11" s="20">
        <x:f>INDEX(Pregnancy_Physiology_Defaults!H:H,MATCH(C11,Pregnancy_Physiology_Defaults!A:A,0))</x:f>
        <x:v>1.05</x:v>
      </x:c>
      <x:c r="Q11" s="20">
        <x:f>INDEX(Pregnancy_Physiology_Defaults!E:E,MATCH(C11,Pregnancy_Physiology_Defaults!A:A,0))</x:f>
        <x:v>1.15</x:v>
      </x:c>
      <x:c r="R11" s="20">
        <x:f>INDEX(Pregnancy_Physiology_Defaults!F:F,MATCH(C11,Pregnancy_Physiology_Defaults!A:A,0))</x:f>
        <x:v>0.9</x:v>
      </x:c>
      <x:c r="S11" s="20">
        <x:f>INDEX(Pregnancy_Physiology_Defaults!I:I,MATCH(C11,Pregnancy_Physiology_Defaults!A:A,0))</x:f>
        <x:v>0.5</x:v>
      </x:c>
      <x:c r="T11" s="21">
        <x:f>F11*((H11*O11)+(I11*P11)+MAX(0,1-H11-I11))</x:f>
        <x:v>32.480000000000004</x:v>
      </x:c>
      <x:c r="U11" s="21">
        <x:f>G11*Q11*(1+(J11*(1-R11)))</x:f>
        <x:v>557.52</x:v>
      </x:c>
      <x:c r="V11" s="21">
        <x:f>IFERROR((D11*E11)/T11,"")</x:f>
        <x:v>0.13854679802955663</x:v>
      </x:c>
      <x:c r="W11" s="21">
        <x:f>IFERROR(V11/24,"")</x:f>
        <x:v>0.005772783251231526</x:v>
      </x:c>
      <x:c r="X11" s="21">
        <x:f>IFERROR(W11*K11,"")</x:f>
        <x:v>0.004618226600985221</x:v>
      </x:c>
      <x:c r="Y11" s="21">
        <x:f>IFERROR(X11*L11*S11*M11,"")</x:f>
        <x:v>0.001962746305418719</x:v>
      </x:c>
      <x:c r="Z11" s="21">
        <x:f>IFERROR(Y11*N11,"")</x:f>
        <x:v>0.001962746305418719</x:v>
      </x:c>
      <x:c r="AA11" s="21">
        <x:f>Drug_PBPK_Parameters!Y5</x:f>
        <x:v>0.05</x:v>
      </x:c>
      <x:c r="AB11" s="22" t="str">
        <x:f>IF(AA11="","Needs threshold",IF(Z11&gt;=AA11,"Above prototype threshold","Below prototype threshold"))</x:f>
        <x:v>Below prototype threshold</x:v>
      </x:c>
      <x:c r="AC11" s="18" t="str">
        <x:f>Drug_PBPK_Parameters!C5</x:f>
        <x:v>No dedicated pregnancy PBPK identified in quick screen</x:v>
      </x:c>
      <x:c r="AD11" s="18" t="str">
        <x:f>Drug_PBPK_Parameters!Z5</x:f>
        <x:v>Positive</x:v>
      </x:c>
      <x:c r="AE11" s="18">
        <x:f>Drug_PBPK_Parameters!F5</x:f>
        <x:v>0</x:v>
      </x:c>
    </x:row>
    <x:row r="12">
      <x:c r="A12" s="17" t="str">
        <x:f>Drug_PBPK_Parameters!A5</x:f>
        <x:v>DRUG-004</x:v>
      </x:c>
      <x:c r="B12" s="17" t="str">
        <x:f>Drug_PBPK_Parameters!B5</x:f>
        <x:v>Cladribine</x:v>
      </x:c>
      <x:c r="C12" s="9" t="inlineStr">
        <x:is>
          <x:t xml:space="preserve">T2</x:t>
        </x:is>
      </x:c>
      <x:c r="D12" s="15">
        <x:f>Drug_PBPK_Parameters!H5</x:f>
        <x:v>10</x:v>
      </x:c>
      <x:c r="E12" s="20">
        <x:f>Drug_PBPK_Parameters!J5</x:f>
        <x:v>0.45</x:v>
      </x:c>
      <x:c r="F12" s="20">
        <x:f>Drug_PBPK_Parameters!L5</x:f>
        <x:v>28</x:v>
      </x:c>
      <x:c r="G12" s="20">
        <x:f>Drug_PBPK_Parameters!M5</x:f>
        <x:v>480</x:v>
      </x:c>
      <x:c r="H12" s="20">
        <x:f>Drug_PBPK_Parameters!S5</x:f>
        <x:v>0.5</x:v>
      </x:c>
      <x:c r="I12" s="20">
        <x:f>Drug_PBPK_Parameters!T5</x:f>
        <x:v>0.2</x:v>
      </x:c>
      <x:c r="J12" s="20">
        <x:f>Drug_PBPK_Parameters!U5</x:f>
        <x:v>0.1</x:v>
      </x:c>
      <x:c r="K12" s="20">
        <x:f>Drug_PBPK_Parameters!N5</x:f>
        <x:v>0.8</x:v>
      </x:c>
      <x:c r="L12" s="20">
        <x:f>Drug_PBPK_Parameters!V5</x:f>
        <x:v>0.85</x:v>
      </x:c>
      <x:c r="M12" s="20">
        <x:f>Drug_PBPK_Parameters!W5</x:f>
        <x:v>1</x:v>
      </x:c>
      <x:c r="N12" s="20">
        <x:f>Drug_PBPK_Parameters!X5</x:f>
        <x:v>1</x:v>
      </x:c>
      <x:c r="O12" s="20">
        <x:f>INDEX(Pregnancy_Physiology_Defaults!G:G,MATCH(C12,Pregnancy_Physiology_Defaults!A:A,0))</x:f>
        <x:v>1.45</x:v>
      </x:c>
      <x:c r="P12" s="20">
        <x:f>INDEX(Pregnancy_Physiology_Defaults!H:H,MATCH(C12,Pregnancy_Physiology_Defaults!A:A,0))</x:f>
        <x:v>1.1</x:v>
      </x:c>
      <x:c r="Q12" s="20">
        <x:f>INDEX(Pregnancy_Physiology_Defaults!E:E,MATCH(C12,Pregnancy_Physiology_Defaults!A:A,0))</x:f>
        <x:v>1.35</x:v>
      </x:c>
      <x:c r="R12" s="20">
        <x:f>INDEX(Pregnancy_Physiology_Defaults!F:F,MATCH(C12,Pregnancy_Physiology_Defaults!A:A,0))</x:f>
        <x:v>0.8</x:v>
      </x:c>
      <x:c r="S12" s="20">
        <x:f>INDEX(Pregnancy_Physiology_Defaults!I:I,MATCH(C12,Pregnancy_Physiology_Defaults!A:A,0))</x:f>
        <x:v>0.8</x:v>
      </x:c>
      <x:c r="T12" s="21">
        <x:f>F12*((H12*O12)+(I12*P12)+MAX(0,1-H12-I12))</x:f>
        <x:v>34.86</x:v>
      </x:c>
      <x:c r="U12" s="21">
        <x:f>G12*Q12*(1+(J12*(1-R12)))</x:f>
        <x:v>660.96</x:v>
      </x:c>
      <x:c r="V12" s="21">
        <x:f>IFERROR((D12*E12)/T12,"")</x:f>
        <x:v>0.12908777969018934</x:v>
      </x:c>
      <x:c r="W12" s="21">
        <x:f>IFERROR(V12/24,"")</x:f>
        <x:v>0.005378657487091223</x:v>
      </x:c>
      <x:c r="X12" s="21">
        <x:f>IFERROR(W12*K12,"")</x:f>
        <x:v>0.004302925989672978</x:v>
      </x:c>
      <x:c r="Y12" s="21">
        <x:f>IFERROR(X12*L12*S12*M12,"")</x:f>
        <x:v>0.0029259896729776254</x:v>
      </x:c>
      <x:c r="Z12" s="21">
        <x:f>IFERROR(Y12*N12,"")</x:f>
        <x:v>0.0029259896729776254</x:v>
      </x:c>
      <x:c r="AA12" s="21">
        <x:f>Drug_PBPK_Parameters!Y5</x:f>
        <x:v>0.05</x:v>
      </x:c>
      <x:c r="AB12" s="22" t="str">
        <x:f>IF(AA12="","Needs threshold",IF(Z12&gt;=AA12,"Above prototype threshold","Below prototype threshold"))</x:f>
        <x:v>Below prototype threshold</x:v>
      </x:c>
      <x:c r="AC12" s="18" t="str">
        <x:f>Drug_PBPK_Parameters!C5</x:f>
        <x:v>No dedicated pregnancy PBPK identified in quick screen</x:v>
      </x:c>
      <x:c r="AD12" s="18" t="str">
        <x:f>Drug_PBPK_Parameters!Z5</x:f>
        <x:v>Positive</x:v>
      </x:c>
      <x:c r="AE12" s="18">
        <x:f>Drug_PBPK_Parameters!F5</x:f>
        <x:v>0</x:v>
      </x:c>
    </x:row>
    <x:row r="13">
      <x:c r="A13" s="17" t="str">
        <x:f>Drug_PBPK_Parameters!A5</x:f>
        <x:v>DRUG-004</x:v>
      </x:c>
      <x:c r="B13" s="17" t="str">
        <x:f>Drug_PBPK_Parameters!B5</x:f>
        <x:v>Cladribine</x:v>
      </x:c>
      <x:c r="C13" s="9" t="inlineStr">
        <x:is>
          <x:t xml:space="preserve">T3</x:t>
        </x:is>
      </x:c>
      <x:c r="D13" s="15">
        <x:f>Drug_PBPK_Parameters!H5</x:f>
        <x:v>10</x:v>
      </x:c>
      <x:c r="E13" s="20">
        <x:f>Drug_PBPK_Parameters!J5</x:f>
        <x:v>0.45</x:v>
      </x:c>
      <x:c r="F13" s="20">
        <x:f>Drug_PBPK_Parameters!L5</x:f>
        <x:v>28</x:v>
      </x:c>
      <x:c r="G13" s="20">
        <x:f>Drug_PBPK_Parameters!M5</x:f>
        <x:v>480</x:v>
      </x:c>
      <x:c r="H13" s="20">
        <x:f>Drug_PBPK_Parameters!S5</x:f>
        <x:v>0.5</x:v>
      </x:c>
      <x:c r="I13" s="20">
        <x:f>Drug_PBPK_Parameters!T5</x:f>
        <x:v>0.2</x:v>
      </x:c>
      <x:c r="J13" s="20">
        <x:f>Drug_PBPK_Parameters!U5</x:f>
        <x:v>0.1</x:v>
      </x:c>
      <x:c r="K13" s="20">
        <x:f>Drug_PBPK_Parameters!N5</x:f>
        <x:v>0.8</x:v>
      </x:c>
      <x:c r="L13" s="20">
        <x:f>Drug_PBPK_Parameters!V5</x:f>
        <x:v>0.85</x:v>
      </x:c>
      <x:c r="M13" s="20">
        <x:f>Drug_PBPK_Parameters!W5</x:f>
        <x:v>1</x:v>
      </x:c>
      <x:c r="N13" s="20">
        <x:f>Drug_PBPK_Parameters!X5</x:f>
        <x:v>1</x:v>
      </x:c>
      <x:c r="O13" s="20">
        <x:f>INDEX(Pregnancy_Physiology_Defaults!G:G,MATCH(C13,Pregnancy_Physiology_Defaults!A:A,0))</x:f>
        <x:v>1.5</x:v>
      </x:c>
      <x:c r="P13" s="20">
        <x:f>INDEX(Pregnancy_Physiology_Defaults!H:H,MATCH(C13,Pregnancy_Physiology_Defaults!A:A,0))</x:f>
        <x:v>1.15</x:v>
      </x:c>
      <x:c r="Q13" s="20">
        <x:f>INDEX(Pregnancy_Physiology_Defaults!E:E,MATCH(C13,Pregnancy_Physiology_Defaults!A:A,0))</x:f>
        <x:v>1.5</x:v>
      </x:c>
      <x:c r="R13" s="20">
        <x:f>INDEX(Pregnancy_Physiology_Defaults!F:F,MATCH(C13,Pregnancy_Physiology_Defaults!A:A,0))</x:f>
        <x:v>0.7</x:v>
      </x:c>
      <x:c r="S13" s="20">
        <x:f>INDEX(Pregnancy_Physiology_Defaults!I:I,MATCH(C13,Pregnancy_Physiology_Defaults!A:A,0))</x:f>
        <x:v>1</x:v>
      </x:c>
      <x:c r="T13" s="21">
        <x:f>F13*((H13*O13)+(I13*P13)+MAX(0,1-H13-I13))</x:f>
        <x:v>35.84</x:v>
      </x:c>
      <x:c r="U13" s="21">
        <x:f>G13*Q13*(1+(J13*(1-R13)))</x:f>
        <x:v>741.6</x:v>
      </x:c>
      <x:c r="V13" s="21">
        <x:f>IFERROR((D13*E13)/T13,"")</x:f>
        <x:v>0.1255580357142857</x:v>
      </x:c>
      <x:c r="W13" s="21">
        <x:f>IFERROR(V13/24,"")</x:f>
        <x:v>0.005231584821428571</x:v>
      </x:c>
      <x:c r="X13" s="21">
        <x:f>IFERROR(W13*K13,"")</x:f>
        <x:v>0.004185267857142857</x:v>
      </x:c>
      <x:c r="Y13" s="21">
        <x:f>IFERROR(X13*L13*S13*M13,"")</x:f>
        <x:v>0.0035574776785714285</x:v>
      </x:c>
      <x:c r="Z13" s="21">
        <x:f>IFERROR(Y13*N13,"")</x:f>
        <x:v>0.0035574776785714285</x:v>
      </x:c>
      <x:c r="AA13" s="21">
        <x:f>Drug_PBPK_Parameters!Y5</x:f>
        <x:v>0.05</x:v>
      </x:c>
      <x:c r="AB13" s="22" t="str">
        <x:f>IF(AA13="","Needs threshold",IF(Z13&gt;=AA13,"Above prototype threshold","Below prototype threshold"))</x:f>
        <x:v>Below prototype threshold</x:v>
      </x:c>
      <x:c r="AC13" s="18" t="str">
        <x:f>Drug_PBPK_Parameters!C5</x:f>
        <x:v>No dedicated pregnancy PBPK identified in quick screen</x:v>
      </x:c>
      <x:c r="AD13" s="18" t="str">
        <x:f>Drug_PBPK_Parameters!Z5</x:f>
        <x:v>Positive</x:v>
      </x:c>
      <x:c r="AE13" s="18">
        <x:f>Drug_PBPK_Parameters!F5</x:f>
        <x:v>0</x:v>
      </x:c>
    </x:row>
    <x:row r="14">
      <x:c r="A14" s="17" t="str">
        <x:f>Drug_PBPK_Parameters!A6</x:f>
        <x:v>DRUG-005</x:v>
      </x:c>
      <x:c r="B14" s="17" t="str">
        <x:f>Drug_PBPK_Parameters!B6</x:f>
        <x:v>Epicatechin</x:v>
      </x:c>
      <x:c r="C14" s="9" t="inlineStr">
        <x:is>
          <x:t xml:space="preserve">T1</x:t>
        </x:is>
      </x:c>
      <x:c r="D14" s="15">
        <x:f>Drug_PBPK_Parameters!H6</x:f>
        <x:v>50</x:v>
      </x:c>
      <x:c r="E14" s="20">
        <x:f>Drug_PBPK_Parameters!J6</x:f>
        <x:v>0.15</x:v>
      </x:c>
      <x:c r="F14" s="20">
        <x:f>Drug_PBPK_Parameters!L6</x:f>
        <x:v>35</x:v>
      </x:c>
      <x:c r="G14" s="20">
        <x:f>Drug_PBPK_Parameters!M6</x:f>
        <x:v>60</x:v>
      </x:c>
      <x:c r="H14" s="20">
        <x:f>Drug_PBPK_Parameters!S6</x:f>
        <x:v>0.2</x:v>
      </x:c>
      <x:c r="I14" s="20">
        <x:f>Drug_PBPK_Parameters!T6</x:f>
        <x:v>0.6</x:v>
      </x:c>
      <x:c r="J14" s="20">
        <x:f>Drug_PBPK_Parameters!U6</x:f>
        <x:v>0.25</x:v>
      </x:c>
      <x:c r="K14" s="20">
        <x:f>Drug_PBPK_Parameters!N6</x:f>
        <x:v>0.3</x:v>
      </x:c>
      <x:c r="L14" s="20">
        <x:f>Drug_PBPK_Parameters!V6</x:f>
        <x:v>0.65</x:v>
      </x:c>
      <x:c r="M14" s="20">
        <x:f>Drug_PBPK_Parameters!W6</x:f>
        <x:v>1</x:v>
      </x:c>
      <x:c r="N14" s="20">
        <x:f>Drug_PBPK_Parameters!X6</x:f>
        <x:v>1.1</x:v>
      </x:c>
      <x:c r="O14" s="20">
        <x:f>INDEX(Pregnancy_Physiology_Defaults!G:G,MATCH(C14,Pregnancy_Physiology_Defaults!A:A,0))</x:f>
        <x:v>1.3</x:v>
      </x:c>
      <x:c r="P14" s="20">
        <x:f>INDEX(Pregnancy_Physiology_Defaults!H:H,MATCH(C14,Pregnancy_Physiology_Defaults!A:A,0))</x:f>
        <x:v>1.05</x:v>
      </x:c>
      <x:c r="Q14" s="20">
        <x:f>INDEX(Pregnancy_Physiology_Defaults!E:E,MATCH(C14,Pregnancy_Physiology_Defaults!A:A,0))</x:f>
        <x:v>1.15</x:v>
      </x:c>
      <x:c r="R14" s="20">
        <x:f>INDEX(Pregnancy_Physiology_Defaults!F:F,MATCH(C14,Pregnancy_Physiology_Defaults!A:A,0))</x:f>
        <x:v>0.9</x:v>
      </x:c>
      <x:c r="S14" s="20">
        <x:f>INDEX(Pregnancy_Physiology_Defaults!I:I,MATCH(C14,Pregnancy_Physiology_Defaults!A:A,0))</x:f>
        <x:v>0.5</x:v>
      </x:c>
      <x:c r="T14" s="21">
        <x:f>F14*((H14*O14)+(I14*P14)+MAX(0,1-H14-I14))</x:f>
        <x:v>38.150000000000006</x:v>
      </x:c>
      <x:c r="U14" s="21">
        <x:f>G14*Q14*(1+(J14*(1-R14)))</x:f>
        <x:v>70.725</x:v>
      </x:c>
      <x:c r="V14" s="21">
        <x:f>IFERROR((D14*E14)/T14,"")</x:f>
        <x:v>0.19659239842726078</x:v>
      </x:c>
      <x:c r="W14" s="21">
        <x:f>IFERROR(V14/24,"")</x:f>
        <x:v>0.008191349934469199</x:v>
      </x:c>
      <x:c r="X14" s="21">
        <x:f>IFERROR(W14*K14,"")</x:f>
        <x:v>0.0024574049803407594</x:v>
      </x:c>
      <x:c r="Y14" s="21">
        <x:f>IFERROR(X14*L14*S14*M14,"")</x:f>
        <x:v>0.0007986566186107468</x:v>
      </x:c>
      <x:c r="Z14" s="21">
        <x:f>IFERROR(Y14*N14,"")</x:f>
        <x:v>0.0008785222804718216</x:v>
      </x:c>
      <x:c r="AA14" s="21">
        <x:f>Drug_PBPK_Parameters!Y6</x:f>
        <x:v>0.2</x:v>
      </x:c>
      <x:c r="AB14" s="22" t="str">
        <x:f>IF(AA14="","Needs threshold",IF(Z14&gt;=AA14,"Above prototype threshold","Below prototype threshold"))</x:f>
        <x:v>Below prototype threshold</x:v>
      </x:c>
      <x:c r="AC14" s="18" t="str">
        <x:f>Drug_PBPK_Parameters!C6</x:f>
        <x:v>No dedicated pregnancy PBPK identified in quick screen</x:v>
      </x:c>
      <x:c r="AD14" s="18" t="str">
        <x:f>Drug_PBPK_Parameters!Z6</x:f>
        <x:v>Negative/No clear signal</x:v>
      </x:c>
      <x:c r="AE14" s="18">
        <x:f>Drug_PBPK_Parameters!F6</x:f>
        <x:v>0</x:v>
      </x:c>
    </x:row>
    <x:row r="15">
      <x:c r="A15" s="17" t="str">
        <x:f>Drug_PBPK_Parameters!A6</x:f>
        <x:v>DRUG-005</x:v>
      </x:c>
      <x:c r="B15" s="17" t="str">
        <x:f>Drug_PBPK_Parameters!B6</x:f>
        <x:v>Epicatechin</x:v>
      </x:c>
      <x:c r="C15" s="9" t="inlineStr">
        <x:is>
          <x:t xml:space="preserve">T2</x:t>
        </x:is>
      </x:c>
      <x:c r="D15" s="15">
        <x:f>Drug_PBPK_Parameters!H6</x:f>
        <x:v>50</x:v>
      </x:c>
      <x:c r="E15" s="20">
        <x:f>Drug_PBPK_Parameters!J6</x:f>
        <x:v>0.15</x:v>
      </x:c>
      <x:c r="F15" s="20">
        <x:f>Drug_PBPK_Parameters!L6</x:f>
        <x:v>35</x:v>
      </x:c>
      <x:c r="G15" s="20">
        <x:f>Drug_PBPK_Parameters!M6</x:f>
        <x:v>60</x:v>
      </x:c>
      <x:c r="H15" s="20">
        <x:f>Drug_PBPK_Parameters!S6</x:f>
        <x:v>0.2</x:v>
      </x:c>
      <x:c r="I15" s="20">
        <x:f>Drug_PBPK_Parameters!T6</x:f>
        <x:v>0.6</x:v>
      </x:c>
      <x:c r="J15" s="20">
        <x:f>Drug_PBPK_Parameters!U6</x:f>
        <x:v>0.25</x:v>
      </x:c>
      <x:c r="K15" s="20">
        <x:f>Drug_PBPK_Parameters!N6</x:f>
        <x:v>0.3</x:v>
      </x:c>
      <x:c r="L15" s="20">
        <x:f>Drug_PBPK_Parameters!V6</x:f>
        <x:v>0.65</x:v>
      </x:c>
      <x:c r="M15" s="20">
        <x:f>Drug_PBPK_Parameters!W6</x:f>
        <x:v>1</x:v>
      </x:c>
      <x:c r="N15" s="20">
        <x:f>Drug_PBPK_Parameters!X6</x:f>
        <x:v>1.1</x:v>
      </x:c>
      <x:c r="O15" s="20">
        <x:f>INDEX(Pregnancy_Physiology_Defaults!G:G,MATCH(C15,Pregnancy_Physiology_Defaults!A:A,0))</x:f>
        <x:v>1.45</x:v>
      </x:c>
      <x:c r="P15" s="20">
        <x:f>INDEX(Pregnancy_Physiology_Defaults!H:H,MATCH(C15,Pregnancy_Physiology_Defaults!A:A,0))</x:f>
        <x:v>1.1</x:v>
      </x:c>
      <x:c r="Q15" s="20">
        <x:f>INDEX(Pregnancy_Physiology_Defaults!E:E,MATCH(C15,Pregnancy_Physiology_Defaults!A:A,0))</x:f>
        <x:v>1.35</x:v>
      </x:c>
      <x:c r="R15" s="20">
        <x:f>INDEX(Pregnancy_Physiology_Defaults!F:F,MATCH(C15,Pregnancy_Physiology_Defaults!A:A,0))</x:f>
        <x:v>0.8</x:v>
      </x:c>
      <x:c r="S15" s="20">
        <x:f>INDEX(Pregnancy_Physiology_Defaults!I:I,MATCH(C15,Pregnancy_Physiology_Defaults!A:A,0))</x:f>
        <x:v>0.8</x:v>
      </x:c>
      <x:c r="T15" s="21">
        <x:f>F15*((H15*O15)+(I15*P15)+MAX(0,1-H15-I15))</x:f>
        <x:v>40.25</x:v>
      </x:c>
      <x:c r="U15" s="21">
        <x:f>G15*Q15*(1+(J15*(1-R15)))</x:f>
        <x:v>85.05</x:v>
      </x:c>
      <x:c r="V15" s="21">
        <x:f>IFERROR((D15*E15)/T15,"")</x:f>
        <x:v>0.18633540372670807</x:v>
      </x:c>
      <x:c r="W15" s="21">
        <x:f>IFERROR(V15/24,"")</x:f>
        <x:v>0.007763975155279503</x:v>
      </x:c>
      <x:c r="X15" s="21">
        <x:f>IFERROR(W15*K15,"")</x:f>
        <x:v>0.002329192546583851</x:v>
      </x:c>
      <x:c r="Y15" s="21">
        <x:f>IFERROR(X15*L15*S15*M15,"")</x:f>
        <x:v>0.0012111801242236026</x:v>
      </x:c>
      <x:c r="Z15" s="21">
        <x:f>IFERROR(Y15*N15,"")</x:f>
        <x:v>0.001332298136645963</x:v>
      </x:c>
      <x:c r="AA15" s="21">
        <x:f>Drug_PBPK_Parameters!Y6</x:f>
        <x:v>0.2</x:v>
      </x:c>
      <x:c r="AB15" s="22" t="str">
        <x:f>IF(AA15="","Needs threshold",IF(Z15&gt;=AA15,"Above prototype threshold","Below prototype threshold"))</x:f>
        <x:v>Below prototype threshold</x:v>
      </x:c>
      <x:c r="AC15" s="18" t="str">
        <x:f>Drug_PBPK_Parameters!C6</x:f>
        <x:v>No dedicated pregnancy PBPK identified in quick screen</x:v>
      </x:c>
      <x:c r="AD15" s="18" t="str">
        <x:f>Drug_PBPK_Parameters!Z6</x:f>
        <x:v>Negative/No clear signal</x:v>
      </x:c>
      <x:c r="AE15" s="18">
        <x:f>Drug_PBPK_Parameters!F6</x:f>
        <x:v>0</x:v>
      </x:c>
    </x:row>
    <x:row r="16">
      <x:c r="A16" s="17" t="str">
        <x:f>Drug_PBPK_Parameters!A6</x:f>
        <x:v>DRUG-005</x:v>
      </x:c>
      <x:c r="B16" s="17" t="str">
        <x:f>Drug_PBPK_Parameters!B6</x:f>
        <x:v>Epicatechin</x:v>
      </x:c>
      <x:c r="C16" s="9" t="inlineStr">
        <x:is>
          <x:t xml:space="preserve">T3</x:t>
        </x:is>
      </x:c>
      <x:c r="D16" s="15">
        <x:f>Drug_PBPK_Parameters!H6</x:f>
        <x:v>50</x:v>
      </x:c>
      <x:c r="E16" s="20">
        <x:f>Drug_PBPK_Parameters!J6</x:f>
        <x:v>0.15</x:v>
      </x:c>
      <x:c r="F16" s="20">
        <x:f>Drug_PBPK_Parameters!L6</x:f>
        <x:v>35</x:v>
      </x:c>
      <x:c r="G16" s="20">
        <x:f>Drug_PBPK_Parameters!M6</x:f>
        <x:v>60</x:v>
      </x:c>
      <x:c r="H16" s="20">
        <x:f>Drug_PBPK_Parameters!S6</x:f>
        <x:v>0.2</x:v>
      </x:c>
      <x:c r="I16" s="20">
        <x:f>Drug_PBPK_Parameters!T6</x:f>
        <x:v>0.6</x:v>
      </x:c>
      <x:c r="J16" s="20">
        <x:f>Drug_PBPK_Parameters!U6</x:f>
        <x:v>0.25</x:v>
      </x:c>
      <x:c r="K16" s="20">
        <x:f>Drug_PBPK_Parameters!N6</x:f>
        <x:v>0.3</x:v>
      </x:c>
      <x:c r="L16" s="20">
        <x:f>Drug_PBPK_Parameters!V6</x:f>
        <x:v>0.65</x:v>
      </x:c>
      <x:c r="M16" s="20">
        <x:f>Drug_PBPK_Parameters!W6</x:f>
        <x:v>1</x:v>
      </x:c>
      <x:c r="N16" s="20">
        <x:f>Drug_PBPK_Parameters!X6</x:f>
        <x:v>1.1</x:v>
      </x:c>
      <x:c r="O16" s="20">
        <x:f>INDEX(Pregnancy_Physiology_Defaults!G:G,MATCH(C16,Pregnancy_Physiology_Defaults!A:A,0))</x:f>
        <x:v>1.5</x:v>
      </x:c>
      <x:c r="P16" s="20">
        <x:f>INDEX(Pregnancy_Physiology_Defaults!H:H,MATCH(C16,Pregnancy_Physiology_Defaults!A:A,0))</x:f>
        <x:v>1.15</x:v>
      </x:c>
      <x:c r="Q16" s="20">
        <x:f>INDEX(Pregnancy_Physiology_Defaults!E:E,MATCH(C16,Pregnancy_Physiology_Defaults!A:A,0))</x:f>
        <x:v>1.5</x:v>
      </x:c>
      <x:c r="R16" s="20">
        <x:f>INDEX(Pregnancy_Physiology_Defaults!F:F,MATCH(C16,Pregnancy_Physiology_Defaults!A:A,0))</x:f>
        <x:v>0.7</x:v>
      </x:c>
      <x:c r="S16" s="20">
        <x:f>INDEX(Pregnancy_Physiology_Defaults!I:I,MATCH(C16,Pregnancy_Physiology_Defaults!A:A,0))</x:f>
        <x:v>1</x:v>
      </x:c>
      <x:c r="T16" s="21">
        <x:f>F16*((H16*O16)+(I16*P16)+MAX(0,1-H16-I16))</x:f>
        <x:v>41.65</x:v>
      </x:c>
      <x:c r="U16" s="21">
        <x:f>G16*Q16*(1+(J16*(1-R16)))</x:f>
        <x:v>96.75</x:v>
      </x:c>
      <x:c r="V16" s="21">
        <x:f>IFERROR((D16*E16)/T16,"")</x:f>
        <x:v>0.18007202881152462</x:v>
      </x:c>
      <x:c r="W16" s="21">
        <x:f>IFERROR(V16/24,"")</x:f>
        <x:v>0.007503001200480193</x:v>
      </x:c>
      <x:c r="X16" s="21">
        <x:f>IFERROR(W16*K16,"")</x:f>
        <x:v>0.002250900360144058</x:v>
      </x:c>
      <x:c r="Y16" s="21">
        <x:f>IFERROR(X16*L16*S16*M16,"")</x:f>
        <x:v>0.0014630852340936377</x:v>
      </x:c>
      <x:c r="Z16" s="21">
        <x:f>IFERROR(Y16*N16,"")</x:f>
        <x:v>0.0016093937575030017</x:v>
      </x:c>
      <x:c r="AA16" s="21">
        <x:f>Drug_PBPK_Parameters!Y6</x:f>
        <x:v>0.2</x:v>
      </x:c>
      <x:c r="AB16" s="22" t="str">
        <x:f>IF(AA16="","Needs threshold",IF(Z16&gt;=AA16,"Above prototype threshold","Below prototype threshold"))</x:f>
        <x:v>Below prototype threshold</x:v>
      </x:c>
      <x:c r="AC16" s="18" t="str">
        <x:f>Drug_PBPK_Parameters!C6</x:f>
        <x:v>No dedicated pregnancy PBPK identified in quick screen</x:v>
      </x:c>
      <x:c r="AD16" s="18" t="str">
        <x:f>Drug_PBPK_Parameters!Z6</x:f>
        <x:v>Negative/No clear signal</x:v>
      </x:c>
      <x:c r="AE16" s="18">
        <x:f>Drug_PBPK_Parameters!F6</x:f>
        <x:v>0</x:v>
      </x:c>
    </x:row>
    <x:row r="17">
      <x:c r="A17" s="17" t="str">
        <x:f>Drug_PBPK_Parameters!A7</x:f>
        <x:v>DRUG-006</x:v>
      </x:c>
      <x:c r="B17" s="17" t="str">
        <x:f>Drug_PBPK_Parameters!B7</x:f>
        <x:v>Exemestane</x:v>
      </x:c>
      <x:c r="C17" s="9" t="inlineStr">
        <x:is>
          <x:t xml:space="preserve">T1</x:t>
        </x:is>
      </x:c>
      <x:c r="D17" s="15">
        <x:f>Drug_PBPK_Parameters!H7</x:f>
        <x:v>25</x:v>
      </x:c>
      <x:c r="E17" s="20">
        <x:f>Drug_PBPK_Parameters!J7</x:f>
        <x:v>0.42</x:v>
      </x:c>
      <x:c r="F17" s="20">
        <x:f>Drug_PBPK_Parameters!L7</x:f>
        <x:v>14</x:v>
      </x:c>
      <x:c r="G17" s="20">
        <x:f>Drug_PBPK_Parameters!M7</x:f>
        <x:v>90</x:v>
      </x:c>
      <x:c r="H17" s="20">
        <x:f>Drug_PBPK_Parameters!S7</x:f>
        <x:v>0.1</x:v>
      </x:c>
      <x:c r="I17" s="20">
        <x:f>Drug_PBPK_Parameters!T7</x:f>
        <x:v>0.8</x:v>
      </x:c>
      <x:c r="J17" s="20">
        <x:f>Drug_PBPK_Parameters!U7</x:f>
        <x:v>0.35</x:v>
      </x:c>
      <x:c r="K17" s="20">
        <x:f>Drug_PBPK_Parameters!N7</x:f>
        <x:v>0.1</x:v>
      </x:c>
      <x:c r="L17" s="20">
        <x:f>Drug_PBPK_Parameters!V7</x:f>
        <x:v>0.9</x:v>
      </x:c>
      <x:c r="M17" s="20">
        <x:f>Drug_PBPK_Parameters!W7</x:f>
        <x:v>1.1</x:v>
      </x:c>
      <x:c r="N17" s="20">
        <x:f>Drug_PBPK_Parameters!X7</x:f>
        <x:v>1.4</x:v>
      </x:c>
      <x:c r="O17" s="20">
        <x:f>INDEX(Pregnancy_Physiology_Defaults!G:G,MATCH(C17,Pregnancy_Physiology_Defaults!A:A,0))</x:f>
        <x:v>1.3</x:v>
      </x:c>
      <x:c r="P17" s="20">
        <x:f>INDEX(Pregnancy_Physiology_Defaults!H:H,MATCH(C17,Pregnancy_Physiology_Defaults!A:A,0))</x:f>
        <x:v>1.05</x:v>
      </x:c>
      <x:c r="Q17" s="20">
        <x:f>INDEX(Pregnancy_Physiology_Defaults!E:E,MATCH(C17,Pregnancy_Physiology_Defaults!A:A,0))</x:f>
        <x:v>1.15</x:v>
      </x:c>
      <x:c r="R17" s="20">
        <x:f>INDEX(Pregnancy_Physiology_Defaults!F:F,MATCH(C17,Pregnancy_Physiology_Defaults!A:A,0))</x:f>
        <x:v>0.9</x:v>
      </x:c>
      <x:c r="S17" s="20">
        <x:f>INDEX(Pregnancy_Physiology_Defaults!I:I,MATCH(C17,Pregnancy_Physiology_Defaults!A:A,0))</x:f>
        <x:v>0.5</x:v>
      </x:c>
      <x:c r="T17" s="21">
        <x:f>F17*((H17*O17)+(I17*P17)+MAX(0,1-H17-I17))</x:f>
        <x:v>14.98</x:v>
      </x:c>
      <x:c r="U17" s="21">
        <x:f>G17*Q17*(1+(J17*(1-R17)))</x:f>
        <x:v>107.12249999999997</x:v>
      </x:c>
      <x:c r="V17" s="21">
        <x:f>IFERROR((D17*E17)/T17,"")</x:f>
        <x:v>0.7009345794392523</x:v>
      </x:c>
      <x:c r="W17" s="21">
        <x:f>IFERROR(V17/24,"")</x:f>
        <x:v>0.029205607476635514</x:v>
      </x:c>
      <x:c r="X17" s="21">
        <x:f>IFERROR(W17*K17,"")</x:f>
        <x:v>0.0029205607476635517</x:v>
      </x:c>
      <x:c r="Y17" s="21">
        <x:f>IFERROR(X17*L17*S17*M17,"")</x:f>
        <x:v>0.0014456775700934581</x:v>
      </x:c>
      <x:c r="Z17" s="21">
        <x:f>IFERROR(Y17*N17,"")</x:f>
        <x:v>0.002023948598130841</x:v>
      </x:c>
      <x:c r="AA17" s="21">
        <x:f>Drug_PBPK_Parameters!Y7</x:f>
        <x:v>0.15</x:v>
      </x:c>
      <x:c r="AB17" s="22" t="str">
        <x:f>IF(AA17="","Needs threshold",IF(Z17&gt;=AA17,"Above prototype threshold","Below prototype threshold"))</x:f>
        <x:v>Below prototype threshold</x:v>
      </x:c>
      <x:c r="AC17" s="18" t="str">
        <x:f>Drug_PBPK_Parameters!C7</x:f>
        <x:v>No dedicated pregnancy PBPK identified in quick screen</x:v>
      </x:c>
      <x:c r="AD17" s="18" t="str">
        <x:f>Drug_PBPK_Parameters!Z7</x:f>
        <x:v>Positive</x:v>
      </x:c>
      <x:c r="AE17" s="18">
        <x:f>Drug_PBPK_Parameters!F7</x:f>
        <x:v>0</x:v>
      </x:c>
    </x:row>
    <x:row r="18">
      <x:c r="A18" s="17" t="str">
        <x:f>Drug_PBPK_Parameters!A7</x:f>
        <x:v>DRUG-006</x:v>
      </x:c>
      <x:c r="B18" s="17" t="str">
        <x:f>Drug_PBPK_Parameters!B7</x:f>
        <x:v>Exemestane</x:v>
      </x:c>
      <x:c r="C18" s="9" t="inlineStr">
        <x:is>
          <x:t xml:space="preserve">T2</x:t>
        </x:is>
      </x:c>
      <x:c r="D18" s="15">
        <x:f>Drug_PBPK_Parameters!H7</x:f>
        <x:v>25</x:v>
      </x:c>
      <x:c r="E18" s="20">
        <x:f>Drug_PBPK_Parameters!J7</x:f>
        <x:v>0.42</x:v>
      </x:c>
      <x:c r="F18" s="20">
        <x:f>Drug_PBPK_Parameters!L7</x:f>
        <x:v>14</x:v>
      </x:c>
      <x:c r="G18" s="20">
        <x:f>Drug_PBPK_Parameters!M7</x:f>
        <x:v>90</x:v>
      </x:c>
      <x:c r="H18" s="20">
        <x:f>Drug_PBPK_Parameters!S7</x:f>
        <x:v>0.1</x:v>
      </x:c>
      <x:c r="I18" s="20">
        <x:f>Drug_PBPK_Parameters!T7</x:f>
        <x:v>0.8</x:v>
      </x:c>
      <x:c r="J18" s="20">
        <x:f>Drug_PBPK_Parameters!U7</x:f>
        <x:v>0.35</x:v>
      </x:c>
      <x:c r="K18" s="20">
        <x:f>Drug_PBPK_Parameters!N7</x:f>
        <x:v>0.1</x:v>
      </x:c>
      <x:c r="L18" s="20">
        <x:f>Drug_PBPK_Parameters!V7</x:f>
        <x:v>0.9</x:v>
      </x:c>
      <x:c r="M18" s="20">
        <x:f>Drug_PBPK_Parameters!W7</x:f>
        <x:v>1.1</x:v>
      </x:c>
      <x:c r="N18" s="20">
        <x:f>Drug_PBPK_Parameters!X7</x:f>
        <x:v>1.4</x:v>
      </x:c>
      <x:c r="O18" s="20">
        <x:f>INDEX(Pregnancy_Physiology_Defaults!G:G,MATCH(C18,Pregnancy_Physiology_Defaults!A:A,0))</x:f>
        <x:v>1.45</x:v>
      </x:c>
      <x:c r="P18" s="20">
        <x:f>INDEX(Pregnancy_Physiology_Defaults!H:H,MATCH(C18,Pregnancy_Physiology_Defaults!A:A,0))</x:f>
        <x:v>1.1</x:v>
      </x:c>
      <x:c r="Q18" s="20">
        <x:f>INDEX(Pregnancy_Physiology_Defaults!E:E,MATCH(C18,Pregnancy_Physiology_Defaults!A:A,0))</x:f>
        <x:v>1.35</x:v>
      </x:c>
      <x:c r="R18" s="20">
        <x:f>INDEX(Pregnancy_Physiology_Defaults!F:F,MATCH(C18,Pregnancy_Physiology_Defaults!A:A,0))</x:f>
        <x:v>0.8</x:v>
      </x:c>
      <x:c r="S18" s="20">
        <x:f>INDEX(Pregnancy_Physiology_Defaults!I:I,MATCH(C18,Pregnancy_Physiology_Defaults!A:A,0))</x:f>
        <x:v>0.8</x:v>
      </x:c>
      <x:c r="T18" s="21">
        <x:f>F18*((H18*O18)+(I18*P18)+MAX(0,1-H18-I18))</x:f>
        <x:v>15.75</x:v>
      </x:c>
      <x:c r="U18" s="21">
        <x:f>G18*Q18*(1+(J18*(1-R18)))</x:f>
        <x:v>130.00500000000002</x:v>
      </x:c>
      <x:c r="V18" s="21">
        <x:f>IFERROR((D18*E18)/T18,"")</x:f>
        <x:v>0.6666666666666666</x:v>
      </x:c>
      <x:c r="W18" s="21">
        <x:f>IFERROR(V18/24,"")</x:f>
        <x:v>0.027777777777777776</x:v>
      </x:c>
      <x:c r="X18" s="21">
        <x:f>IFERROR(W18*K18,"")</x:f>
        <x:v>0.002777777777777778</x:v>
      </x:c>
      <x:c r="Y18" s="21">
        <x:f>IFERROR(X18*L18*S18*M18,"")</x:f>
        <x:v>0.0022</x:v>
      </x:c>
      <x:c r="Z18" s="21">
        <x:f>IFERROR(Y18*N18,"")</x:f>
        <x:v>0.00308</x:v>
      </x:c>
      <x:c r="AA18" s="21">
        <x:f>Drug_PBPK_Parameters!Y7</x:f>
        <x:v>0.15</x:v>
      </x:c>
      <x:c r="AB18" s="22" t="str">
        <x:f>IF(AA18="","Needs threshold",IF(Z18&gt;=AA18,"Above prototype threshold","Below prototype threshold"))</x:f>
        <x:v>Below prototype threshold</x:v>
      </x:c>
      <x:c r="AC18" s="18" t="str">
        <x:f>Drug_PBPK_Parameters!C7</x:f>
        <x:v>No dedicated pregnancy PBPK identified in quick screen</x:v>
      </x:c>
      <x:c r="AD18" s="18" t="str">
        <x:f>Drug_PBPK_Parameters!Z7</x:f>
        <x:v>Positive</x:v>
      </x:c>
      <x:c r="AE18" s="18">
        <x:f>Drug_PBPK_Parameters!F7</x:f>
        <x:v>0</x:v>
      </x:c>
    </x:row>
    <x:row r="19">
      <x:c r="A19" s="17" t="str">
        <x:f>Drug_PBPK_Parameters!A7</x:f>
        <x:v>DRUG-006</x:v>
      </x:c>
      <x:c r="B19" s="17" t="str">
        <x:f>Drug_PBPK_Parameters!B7</x:f>
        <x:v>Exemestane</x:v>
      </x:c>
      <x:c r="C19" s="9" t="inlineStr">
        <x:is>
          <x:t xml:space="preserve">T3</x:t>
        </x:is>
      </x:c>
      <x:c r="D19" s="15">
        <x:f>Drug_PBPK_Parameters!H7</x:f>
        <x:v>25</x:v>
      </x:c>
      <x:c r="E19" s="20">
        <x:f>Drug_PBPK_Parameters!J7</x:f>
        <x:v>0.42</x:v>
      </x:c>
      <x:c r="F19" s="20">
        <x:f>Drug_PBPK_Parameters!L7</x:f>
        <x:v>14</x:v>
      </x:c>
      <x:c r="G19" s="20">
        <x:f>Drug_PBPK_Parameters!M7</x:f>
        <x:v>90</x:v>
      </x:c>
      <x:c r="H19" s="20">
        <x:f>Drug_PBPK_Parameters!S7</x:f>
        <x:v>0.1</x:v>
      </x:c>
      <x:c r="I19" s="20">
        <x:f>Drug_PBPK_Parameters!T7</x:f>
        <x:v>0.8</x:v>
      </x:c>
      <x:c r="J19" s="20">
        <x:f>Drug_PBPK_Parameters!U7</x:f>
        <x:v>0.35</x:v>
      </x:c>
      <x:c r="K19" s="20">
        <x:f>Drug_PBPK_Parameters!N7</x:f>
        <x:v>0.1</x:v>
      </x:c>
      <x:c r="L19" s="20">
        <x:f>Drug_PBPK_Parameters!V7</x:f>
        <x:v>0.9</x:v>
      </x:c>
      <x:c r="M19" s="20">
        <x:f>Drug_PBPK_Parameters!W7</x:f>
        <x:v>1.1</x:v>
      </x:c>
      <x:c r="N19" s="20">
        <x:f>Drug_PBPK_Parameters!X7</x:f>
        <x:v>1.4</x:v>
      </x:c>
      <x:c r="O19" s="20">
        <x:f>INDEX(Pregnancy_Physiology_Defaults!G:G,MATCH(C19,Pregnancy_Physiology_Defaults!A:A,0))</x:f>
        <x:v>1.5</x:v>
      </x:c>
      <x:c r="P19" s="20">
        <x:f>INDEX(Pregnancy_Physiology_Defaults!H:H,MATCH(C19,Pregnancy_Physiology_Defaults!A:A,0))</x:f>
        <x:v>1.15</x:v>
      </x:c>
      <x:c r="Q19" s="20">
        <x:f>INDEX(Pregnancy_Physiology_Defaults!E:E,MATCH(C19,Pregnancy_Physiology_Defaults!A:A,0))</x:f>
        <x:v>1.5</x:v>
      </x:c>
      <x:c r="R19" s="20">
        <x:f>INDEX(Pregnancy_Physiology_Defaults!F:F,MATCH(C19,Pregnancy_Physiology_Defaults!A:A,0))</x:f>
        <x:v>0.7</x:v>
      </x:c>
      <x:c r="S19" s="20">
        <x:f>INDEX(Pregnancy_Physiology_Defaults!I:I,MATCH(C19,Pregnancy_Physiology_Defaults!A:A,0))</x:f>
        <x:v>1</x:v>
      </x:c>
      <x:c r="T19" s="21">
        <x:f>F19*((H19*O19)+(I19*P19)+MAX(0,1-H19-I19))</x:f>
        <x:v>16.38</x:v>
      </x:c>
      <x:c r="U19" s="21">
        <x:f>G19*Q19*(1+(J19*(1-R19)))</x:f>
        <x:v>149.175</x:v>
      </x:c>
      <x:c r="V19" s="21">
        <x:f>IFERROR((D19*E19)/T19,"")</x:f>
        <x:v>0.6410256410256411</x:v>
      </x:c>
      <x:c r="W19" s="21">
        <x:f>IFERROR(V19/24,"")</x:f>
        <x:v>0.02670940170940171</x:v>
      </x:c>
      <x:c r="X19" s="21">
        <x:f>IFERROR(W19*K19,"")</x:f>
        <x:v>0.0026709401709401714</x:v>
      </x:c>
      <x:c r="Y19" s="21">
        <x:f>IFERROR(X19*L19*S19*M19,"")</x:f>
        <x:v>0.0026442307692307702</x:v>
      </x:c>
      <x:c r="Z19" s="21">
        <x:f>IFERROR(Y19*N19,"")</x:f>
        <x:v>0.003701923076923078</x:v>
      </x:c>
      <x:c r="AA19" s="21">
        <x:f>Drug_PBPK_Parameters!Y7</x:f>
        <x:v>0.15</x:v>
      </x:c>
      <x:c r="AB19" s="22" t="str">
        <x:f>IF(AA19="","Needs threshold",IF(Z19&gt;=AA19,"Above prototype threshold","Below prototype threshold"))</x:f>
        <x:v>Below prototype threshold</x:v>
      </x:c>
      <x:c r="AC19" s="18" t="str">
        <x:f>Drug_PBPK_Parameters!C7</x:f>
        <x:v>No dedicated pregnancy PBPK identified in quick screen</x:v>
      </x:c>
      <x:c r="AD19" s="18" t="str">
        <x:f>Drug_PBPK_Parameters!Z7</x:f>
        <x:v>Positive</x:v>
      </x:c>
      <x:c r="AE19" s="18">
        <x:f>Drug_PBPK_Parameters!F7</x:f>
        <x:v>0</x:v>
      </x:c>
    </x:row>
    <x:row r="20">
      <x:c r="A20" s="17" t="str">
        <x:f>Drug_PBPK_Parameters!A8</x:f>
        <x:v>DRUG-007</x:v>
      </x:c>
      <x:c r="B20" s="17" t="str">
        <x:f>Drug_PBPK_Parameters!B8</x:f>
        <x:v>Fluorouracil</x:v>
      </x:c>
      <x:c r="C20" s="9" t="inlineStr">
        <x:is>
          <x:t xml:space="preserve">T1</x:t>
        </x:is>
      </x:c>
      <x:c r="D20" s="15">
        <x:f>Drug_PBPK_Parameters!H8</x:f>
        <x:v>50</x:v>
      </x:c>
      <x:c r="E20" s="20">
        <x:f>Drug_PBPK_Parameters!J8</x:f>
        <x:v>0.2</x:v>
      </x:c>
      <x:c r="F20" s="20">
        <x:f>Drug_PBPK_Parameters!L8</x:f>
        <x:v>45</x:v>
      </x:c>
      <x:c r="G20" s="20">
        <x:f>Drug_PBPK_Parameters!M8</x:f>
        <x:v>18</x:v>
      </x:c>
      <x:c r="H20" s="20">
        <x:f>Drug_PBPK_Parameters!S8</x:f>
        <x:v>0.15</x:v>
      </x:c>
      <x:c r="I20" s="20">
        <x:f>Drug_PBPK_Parameters!T8</x:f>
        <x:v>0.75</x:v>
      </x:c>
      <x:c r="J20" s="20">
        <x:f>Drug_PBPK_Parameters!U8</x:f>
        <x:v>0.1</x:v>
      </x:c>
      <x:c r="K20" s="20">
        <x:f>Drug_PBPK_Parameters!N8</x:f>
        <x:v>0.9</x:v>
      </x:c>
      <x:c r="L20" s="20">
        <x:f>Drug_PBPK_Parameters!V8</x:f>
        <x:v>0.95</x:v>
      </x:c>
      <x:c r="M20" s="20">
        <x:f>Drug_PBPK_Parameters!W8</x:f>
        <x:v>1.1</x:v>
      </x:c>
      <x:c r="N20" s="20">
        <x:f>Drug_PBPK_Parameters!X8</x:f>
        <x:v>1</x:v>
      </x:c>
      <x:c r="O20" s="20">
        <x:f>INDEX(Pregnancy_Physiology_Defaults!G:G,MATCH(C20,Pregnancy_Physiology_Defaults!A:A,0))</x:f>
        <x:v>1.3</x:v>
      </x:c>
      <x:c r="P20" s="20">
        <x:f>INDEX(Pregnancy_Physiology_Defaults!H:H,MATCH(C20,Pregnancy_Physiology_Defaults!A:A,0))</x:f>
        <x:v>1.05</x:v>
      </x:c>
      <x:c r="Q20" s="20">
        <x:f>INDEX(Pregnancy_Physiology_Defaults!E:E,MATCH(C20,Pregnancy_Physiology_Defaults!A:A,0))</x:f>
        <x:v>1.15</x:v>
      </x:c>
      <x:c r="R20" s="20">
        <x:f>INDEX(Pregnancy_Physiology_Defaults!F:F,MATCH(C20,Pregnancy_Physiology_Defaults!A:A,0))</x:f>
        <x:v>0.9</x:v>
      </x:c>
      <x:c r="S20" s="20">
        <x:f>INDEX(Pregnancy_Physiology_Defaults!I:I,MATCH(C20,Pregnancy_Physiology_Defaults!A:A,0))</x:f>
        <x:v>0.5</x:v>
      </x:c>
      <x:c r="T20" s="21">
        <x:f>F20*((H20*O20)+(I20*P20)+MAX(0,1-H20-I20))</x:f>
        <x:v>48.7125</x:v>
      </x:c>
      <x:c r="U20" s="21">
        <x:f>G20*Q20*(1+(J20*(1-R20)))</x:f>
        <x:v>20.907</x:v>
      </x:c>
      <x:c r="V20" s="21">
        <x:f>IFERROR((D20*E20)/T20,"")</x:f>
        <x:v>0.2052861175263023</x:v>
      </x:c>
      <x:c r="W20" s="21">
        <x:f>IFERROR(V20/24,"")</x:f>
        <x:v>0.008553588230262596</x:v>
      </x:c>
      <x:c r="X20" s="21">
        <x:f>IFERROR(W20*K20,"")</x:f>
        <x:v>0.007698229407236337</x:v>
      </x:c>
      <x:c r="Y20" s="21">
        <x:f>IFERROR(X20*L20*S20*M20,"")</x:f>
        <x:v>0.0040223248652809865</x:v>
      </x:c>
      <x:c r="Z20" s="21">
        <x:f>IFERROR(Y20*N20,"")</x:f>
        <x:v>0.0040223248652809865</x:v>
      </x:c>
      <x:c r="AA20" s="21">
        <x:f>Drug_PBPK_Parameters!Y8</x:f>
        <x:v>0.04</x:v>
      </x:c>
      <x:c r="AB20" s="22" t="str">
        <x:f>IF(AA20="","Needs threshold",IF(Z20&gt;=AA20,"Above prototype threshold","Below prototype threshold"))</x:f>
        <x:v>Below prototype threshold</x:v>
      </x:c>
      <x:c r="AC20" s="18" t="str">
        <x:f>Drug_PBPK_Parameters!C8</x:f>
        <x:v>No dedicated pregnancy PBPK identified in quick screen</x:v>
      </x:c>
      <x:c r="AD20" s="18" t="str">
        <x:f>Drug_PBPK_Parameters!Z8</x:f>
        <x:v>Positive</x:v>
      </x:c>
      <x:c r="AE20" s="18">
        <x:f>Drug_PBPK_Parameters!F8</x:f>
        <x:v>0</x:v>
      </x:c>
    </x:row>
    <x:row r="21">
      <x:c r="A21" s="17" t="str">
        <x:f>Drug_PBPK_Parameters!A8</x:f>
        <x:v>DRUG-007</x:v>
      </x:c>
      <x:c r="B21" s="17" t="str">
        <x:f>Drug_PBPK_Parameters!B8</x:f>
        <x:v>Fluorouracil</x:v>
      </x:c>
      <x:c r="C21" s="9" t="inlineStr">
        <x:is>
          <x:t xml:space="preserve">T2</x:t>
        </x:is>
      </x:c>
      <x:c r="D21" s="15">
        <x:f>Drug_PBPK_Parameters!H8</x:f>
        <x:v>50</x:v>
      </x:c>
      <x:c r="E21" s="20">
        <x:f>Drug_PBPK_Parameters!J8</x:f>
        <x:v>0.2</x:v>
      </x:c>
      <x:c r="F21" s="20">
        <x:f>Drug_PBPK_Parameters!L8</x:f>
        <x:v>45</x:v>
      </x:c>
      <x:c r="G21" s="20">
        <x:f>Drug_PBPK_Parameters!M8</x:f>
        <x:v>18</x:v>
      </x:c>
      <x:c r="H21" s="20">
        <x:f>Drug_PBPK_Parameters!S8</x:f>
        <x:v>0.15</x:v>
      </x:c>
      <x:c r="I21" s="20">
        <x:f>Drug_PBPK_Parameters!T8</x:f>
        <x:v>0.75</x:v>
      </x:c>
      <x:c r="J21" s="20">
        <x:f>Drug_PBPK_Parameters!U8</x:f>
        <x:v>0.1</x:v>
      </x:c>
      <x:c r="K21" s="20">
        <x:f>Drug_PBPK_Parameters!N8</x:f>
        <x:v>0.9</x:v>
      </x:c>
      <x:c r="L21" s="20">
        <x:f>Drug_PBPK_Parameters!V8</x:f>
        <x:v>0.95</x:v>
      </x:c>
      <x:c r="M21" s="20">
        <x:f>Drug_PBPK_Parameters!W8</x:f>
        <x:v>1.1</x:v>
      </x:c>
      <x:c r="N21" s="20">
        <x:f>Drug_PBPK_Parameters!X8</x:f>
        <x:v>1</x:v>
      </x:c>
      <x:c r="O21" s="20">
        <x:f>INDEX(Pregnancy_Physiology_Defaults!G:G,MATCH(C21,Pregnancy_Physiology_Defaults!A:A,0))</x:f>
        <x:v>1.45</x:v>
      </x:c>
      <x:c r="P21" s="20">
        <x:f>INDEX(Pregnancy_Physiology_Defaults!H:H,MATCH(C21,Pregnancy_Physiology_Defaults!A:A,0))</x:f>
        <x:v>1.1</x:v>
      </x:c>
      <x:c r="Q21" s="20">
        <x:f>INDEX(Pregnancy_Physiology_Defaults!E:E,MATCH(C21,Pregnancy_Physiology_Defaults!A:A,0))</x:f>
        <x:v>1.35</x:v>
      </x:c>
      <x:c r="R21" s="20">
        <x:f>INDEX(Pregnancy_Physiology_Defaults!F:F,MATCH(C21,Pregnancy_Physiology_Defaults!A:A,0))</x:f>
        <x:v>0.8</x:v>
      </x:c>
      <x:c r="S21" s="20">
        <x:f>INDEX(Pregnancy_Physiology_Defaults!I:I,MATCH(C21,Pregnancy_Physiology_Defaults!A:A,0))</x:f>
        <x:v>0.8</x:v>
      </x:c>
      <x:c r="T21" s="21">
        <x:f>F21*((H21*O21)+(I21*P21)+MAX(0,1-H21-I21))</x:f>
        <x:v>51.4125</x:v>
      </x:c>
      <x:c r="U21" s="21">
        <x:f>G21*Q21*(1+(J21*(1-R21)))</x:f>
        <x:v>24.786</x:v>
      </x:c>
      <x:c r="V21" s="21">
        <x:f>IFERROR((D21*E21)/T21,"")</x:f>
        <x:v>0.19450522732798445</x:v>
      </x:c>
      <x:c r="W21" s="21">
        <x:f>IFERROR(V21/24,"")</x:f>
        <x:v>0.008104384471999352</x:v>
      </x:c>
      <x:c r="X21" s="21">
        <x:f>IFERROR(W21*K21,"")</x:f>
        <x:v>0.007293946024799417</x:v>
      </x:c>
      <x:c r="Y21" s="21">
        <x:f>IFERROR(X21*L21*S21*M21,"")</x:f>
        <x:v>0.006097738876732313</x:v>
      </x:c>
      <x:c r="Z21" s="21">
        <x:f>IFERROR(Y21*N21,"")</x:f>
        <x:v>0.006097738876732313</x:v>
      </x:c>
      <x:c r="AA21" s="21">
        <x:f>Drug_PBPK_Parameters!Y8</x:f>
        <x:v>0.04</x:v>
      </x:c>
      <x:c r="AB21" s="22" t="str">
        <x:f>IF(AA21="","Needs threshold",IF(Z21&gt;=AA21,"Above prototype threshold","Below prototype threshold"))</x:f>
        <x:v>Below prototype threshold</x:v>
      </x:c>
      <x:c r="AC21" s="18" t="str">
        <x:f>Drug_PBPK_Parameters!C8</x:f>
        <x:v>No dedicated pregnancy PBPK identified in quick screen</x:v>
      </x:c>
      <x:c r="AD21" s="18" t="str">
        <x:f>Drug_PBPK_Parameters!Z8</x:f>
        <x:v>Positive</x:v>
      </x:c>
      <x:c r="AE21" s="18">
        <x:f>Drug_PBPK_Parameters!F8</x:f>
        <x:v>0</x:v>
      </x:c>
    </x:row>
    <x:row r="22">
      <x:c r="A22" s="17" t="str">
        <x:f>Drug_PBPK_Parameters!A8</x:f>
        <x:v>DRUG-007</x:v>
      </x:c>
      <x:c r="B22" s="17" t="str">
        <x:f>Drug_PBPK_Parameters!B8</x:f>
        <x:v>Fluorouracil</x:v>
      </x:c>
      <x:c r="C22" s="9" t="inlineStr">
        <x:is>
          <x:t xml:space="preserve">T3</x:t>
        </x:is>
      </x:c>
      <x:c r="D22" s="15">
        <x:f>Drug_PBPK_Parameters!H8</x:f>
        <x:v>50</x:v>
      </x:c>
      <x:c r="E22" s="20">
        <x:f>Drug_PBPK_Parameters!J8</x:f>
        <x:v>0.2</x:v>
      </x:c>
      <x:c r="F22" s="20">
        <x:f>Drug_PBPK_Parameters!L8</x:f>
        <x:v>45</x:v>
      </x:c>
      <x:c r="G22" s="20">
        <x:f>Drug_PBPK_Parameters!M8</x:f>
        <x:v>18</x:v>
      </x:c>
      <x:c r="H22" s="20">
        <x:f>Drug_PBPK_Parameters!S8</x:f>
        <x:v>0.15</x:v>
      </x:c>
      <x:c r="I22" s="20">
        <x:f>Drug_PBPK_Parameters!T8</x:f>
        <x:v>0.75</x:v>
      </x:c>
      <x:c r="J22" s="20">
        <x:f>Drug_PBPK_Parameters!U8</x:f>
        <x:v>0.1</x:v>
      </x:c>
      <x:c r="K22" s="20">
        <x:f>Drug_PBPK_Parameters!N8</x:f>
        <x:v>0.9</x:v>
      </x:c>
      <x:c r="L22" s="20">
        <x:f>Drug_PBPK_Parameters!V8</x:f>
        <x:v>0.95</x:v>
      </x:c>
      <x:c r="M22" s="20">
        <x:f>Drug_PBPK_Parameters!W8</x:f>
        <x:v>1.1</x:v>
      </x:c>
      <x:c r="N22" s="20">
        <x:f>Drug_PBPK_Parameters!X8</x:f>
        <x:v>1</x:v>
      </x:c>
      <x:c r="O22" s="20">
        <x:f>INDEX(Pregnancy_Physiology_Defaults!G:G,MATCH(C22,Pregnancy_Physiology_Defaults!A:A,0))</x:f>
        <x:v>1.5</x:v>
      </x:c>
      <x:c r="P22" s="20">
        <x:f>INDEX(Pregnancy_Physiology_Defaults!H:H,MATCH(C22,Pregnancy_Physiology_Defaults!A:A,0))</x:f>
        <x:v>1.15</x:v>
      </x:c>
      <x:c r="Q22" s="20">
        <x:f>INDEX(Pregnancy_Physiology_Defaults!E:E,MATCH(C22,Pregnancy_Physiology_Defaults!A:A,0))</x:f>
        <x:v>1.5</x:v>
      </x:c>
      <x:c r="R22" s="20">
        <x:f>INDEX(Pregnancy_Physiology_Defaults!F:F,MATCH(C22,Pregnancy_Physiology_Defaults!A:A,0))</x:f>
        <x:v>0.7</x:v>
      </x:c>
      <x:c r="S22" s="20">
        <x:f>INDEX(Pregnancy_Physiology_Defaults!I:I,MATCH(C22,Pregnancy_Physiology_Defaults!A:A,0))</x:f>
        <x:v>1</x:v>
      </x:c>
      <x:c r="T22" s="21">
        <x:f>F22*((H22*O22)+(I22*P22)+MAX(0,1-H22-I22))</x:f>
        <x:v>53.4375</x:v>
      </x:c>
      <x:c r="U22" s="21">
        <x:f>G22*Q22*(1+(J22*(1-R22)))</x:f>
        <x:v>27.810000000000002</x:v>
      </x:c>
      <x:c r="V22" s="21">
        <x:f>IFERROR((D22*E22)/T22,"")</x:f>
        <x:v>0.1871345029239766</x:v>
      </x:c>
      <x:c r="W22" s="21">
        <x:f>IFERROR(V22/24,"")</x:f>
        <x:v>0.007797270955165692</x:v>
      </x:c>
      <x:c r="X22" s="21">
        <x:f>IFERROR(W22*K22,"")</x:f>
        <x:v>0.007017543859649123</x:v>
      </x:c>
      <x:c r="Y22" s="21">
        <x:f>IFERROR(X22*L22*S22*M22,"")</x:f>
        <x:v>0.007333333333333333</x:v>
      </x:c>
      <x:c r="Z22" s="21">
        <x:f>IFERROR(Y22*N22,"")</x:f>
        <x:v>0.007333333333333333</x:v>
      </x:c>
      <x:c r="AA22" s="21">
        <x:f>Drug_PBPK_Parameters!Y8</x:f>
        <x:v>0.04</x:v>
      </x:c>
      <x:c r="AB22" s="22" t="str">
        <x:f>IF(AA22="","Needs threshold",IF(Z22&gt;=AA22,"Above prototype threshold","Below prototype threshold"))</x:f>
        <x:v>Below prototype threshold</x:v>
      </x:c>
      <x:c r="AC22" s="18" t="str">
        <x:f>Drug_PBPK_Parameters!C8</x:f>
        <x:v>No dedicated pregnancy PBPK identified in quick screen</x:v>
      </x:c>
      <x:c r="AD22" s="18" t="str">
        <x:f>Drug_PBPK_Parameters!Z8</x:f>
        <x:v>Positive</x:v>
      </x:c>
      <x:c r="AE22" s="18">
        <x:f>Drug_PBPK_Parameters!F8</x:f>
        <x:v>0</x:v>
      </x:c>
    </x:row>
    <x:row r="23">
      <x:c r="A23" s="17" t="str">
        <x:f>Drug_PBPK_Parameters!A9</x:f>
        <x:v>DRUG-008</x:v>
      </x:c>
      <x:c r="B23" s="17" t="str">
        <x:f>Drug_PBPK_Parameters!B9</x:f>
        <x:v>Indomethacin</x:v>
      </x:c>
      <x:c r="C23" s="9" t="inlineStr">
        <x:is>
          <x:t xml:space="preserve">T1</x:t>
        </x:is>
      </x:c>
      <x:c r="D23" s="15">
        <x:f>Drug_PBPK_Parameters!H9</x:f>
        <x:v>100</x:v>
      </x:c>
      <x:c r="E23" s="20">
        <x:f>Drug_PBPK_Parameters!J9</x:f>
        <x:v>0.95</x:v>
      </x:c>
      <x:c r="F23" s="20">
        <x:f>Drug_PBPK_Parameters!L9</x:f>
        <x:v>9</x:v>
      </x:c>
      <x:c r="G23" s="20">
        <x:f>Drug_PBPK_Parameters!M9</x:f>
        <x:v>35</x:v>
      </x:c>
      <x:c r="H23" s="20">
        <x:f>Drug_PBPK_Parameters!S9</x:f>
        <x:v>0.1</x:v>
      </x:c>
      <x:c r="I23" s="20">
        <x:f>Drug_PBPK_Parameters!T9</x:f>
        <x:v>0.8</x:v>
      </x:c>
      <x:c r="J23" s="20">
        <x:f>Drug_PBPK_Parameters!U9</x:f>
        <x:v>0.6</x:v>
      </x:c>
      <x:c r="K23" s="20">
        <x:f>Drug_PBPK_Parameters!N9</x:f>
        <x:v>0.01</x:v>
      </x:c>
      <x:c r="L23" s="20">
        <x:f>Drug_PBPK_Parameters!V9</x:f>
        <x:v>1</x:v>
      </x:c>
      <x:c r="M23" s="20">
        <x:f>Drug_PBPK_Parameters!W9</x:f>
        <x:v>1.2</x:v>
      </x:c>
      <x:c r="N23" s="20">
        <x:f>Drug_PBPK_Parameters!X9</x:f>
        <x:v>1.5</x:v>
      </x:c>
      <x:c r="O23" s="20">
        <x:f>INDEX(Pregnancy_Physiology_Defaults!G:G,MATCH(C23,Pregnancy_Physiology_Defaults!A:A,0))</x:f>
        <x:v>1.3</x:v>
      </x:c>
      <x:c r="P23" s="20">
        <x:f>INDEX(Pregnancy_Physiology_Defaults!H:H,MATCH(C23,Pregnancy_Physiology_Defaults!A:A,0))</x:f>
        <x:v>1.05</x:v>
      </x:c>
      <x:c r="Q23" s="20">
        <x:f>INDEX(Pregnancy_Physiology_Defaults!E:E,MATCH(C23,Pregnancy_Physiology_Defaults!A:A,0))</x:f>
        <x:v>1.15</x:v>
      </x:c>
      <x:c r="R23" s="20">
        <x:f>INDEX(Pregnancy_Physiology_Defaults!F:F,MATCH(C23,Pregnancy_Physiology_Defaults!A:A,0))</x:f>
        <x:v>0.9</x:v>
      </x:c>
      <x:c r="S23" s="20">
        <x:f>INDEX(Pregnancy_Physiology_Defaults!I:I,MATCH(C23,Pregnancy_Physiology_Defaults!A:A,0))</x:f>
        <x:v>0.5</x:v>
      </x:c>
      <x:c r="T23" s="21">
        <x:f>F23*((H23*O23)+(I23*P23)+MAX(0,1-H23-I23))</x:f>
        <x:v>9.63</x:v>
      </x:c>
      <x:c r="U23" s="21">
        <x:f>G23*Q23*(1+(J23*(1-R23)))</x:f>
        <x:v>42.665</x:v>
      </x:c>
      <x:c r="V23" s="21">
        <x:f>IFERROR((D23*E23)/T23,"")</x:f>
        <x:v>9.865005192107995</x:v>
      </x:c>
      <x:c r="W23" s="21">
        <x:f>IFERROR(V23/24,"")</x:f>
        <x:v>0.4110418830044998</x:v>
      </x:c>
      <x:c r="X23" s="21">
        <x:f>IFERROR(W23*K23,"")</x:f>
        <x:v>0.004110418830044998</x:v>
      </x:c>
      <x:c r="Y23" s="21">
        <x:f>IFERROR(X23*L23*S23*M23,"")</x:f>
        <x:v>0.002466251298026999</x:v>
      </x:c>
      <x:c r="Z23" s="21">
        <x:f>IFERROR(Y23*N23,"")</x:f>
        <x:v>0.0036993769470404984</x:v>
      </x:c>
      <x:c r="AA23" s="21">
        <x:f>Drug_PBPK_Parameters!Y9</x:f>
        <x:v>0.03</x:v>
      </x:c>
      <x:c r="AB23" s="22" t="str">
        <x:f>IF(AA23="","Needs threshold",IF(Z23&gt;=AA23,"Above prototype threshold","Below prototype threshold"))</x:f>
        <x:v>Below prototype threshold</x:v>
      </x:c>
      <x:c r="AC23" s="18" t="str">
        <x:f>Drug_PBPK_Parameters!C9</x:f>
        <x:v>Pregnancy maternal-fetal PBPK available</x:v>
      </x:c>
      <x:c r="AD23" s="18" t="str">
        <x:f>Drug_PBPK_Parameters!Z9</x:f>
        <x:v>Positive</x:v>
      </x:c>
      <x:c r="AE23" s="18" t="str">
        <x:f>Drug_PBPK_Parameters!F9</x:f>
        <x:v>https://pubmed.ncbi.nlm.nih.gov/34185331 ; https://pubmed.ncbi.nlm.nih.gov/26431339 ; https://pubmed.ncbi.nlm.nih.gov/24493205</x:v>
      </x:c>
    </x:row>
    <x:row r="24">
      <x:c r="A24" s="17" t="str">
        <x:f>Drug_PBPK_Parameters!A9</x:f>
        <x:v>DRUG-008</x:v>
      </x:c>
      <x:c r="B24" s="17" t="str">
        <x:f>Drug_PBPK_Parameters!B9</x:f>
        <x:v>Indomethacin</x:v>
      </x:c>
      <x:c r="C24" s="9" t="inlineStr">
        <x:is>
          <x:t xml:space="preserve">T2</x:t>
        </x:is>
      </x:c>
      <x:c r="D24" s="15">
        <x:f>Drug_PBPK_Parameters!H9</x:f>
        <x:v>100</x:v>
      </x:c>
      <x:c r="E24" s="20">
        <x:f>Drug_PBPK_Parameters!J9</x:f>
        <x:v>0.95</x:v>
      </x:c>
      <x:c r="F24" s="20">
        <x:f>Drug_PBPK_Parameters!L9</x:f>
        <x:v>9</x:v>
      </x:c>
      <x:c r="G24" s="20">
        <x:f>Drug_PBPK_Parameters!M9</x:f>
        <x:v>35</x:v>
      </x:c>
      <x:c r="H24" s="20">
        <x:f>Drug_PBPK_Parameters!S9</x:f>
        <x:v>0.1</x:v>
      </x:c>
      <x:c r="I24" s="20">
        <x:f>Drug_PBPK_Parameters!T9</x:f>
        <x:v>0.8</x:v>
      </x:c>
      <x:c r="J24" s="20">
        <x:f>Drug_PBPK_Parameters!U9</x:f>
        <x:v>0.6</x:v>
      </x:c>
      <x:c r="K24" s="20">
        <x:f>Drug_PBPK_Parameters!N9</x:f>
        <x:v>0.01</x:v>
      </x:c>
      <x:c r="L24" s="20">
        <x:f>Drug_PBPK_Parameters!V9</x:f>
        <x:v>1</x:v>
      </x:c>
      <x:c r="M24" s="20">
        <x:f>Drug_PBPK_Parameters!W9</x:f>
        <x:v>1.2</x:v>
      </x:c>
      <x:c r="N24" s="20">
        <x:f>Drug_PBPK_Parameters!X9</x:f>
        <x:v>1.5</x:v>
      </x:c>
      <x:c r="O24" s="20">
        <x:f>INDEX(Pregnancy_Physiology_Defaults!G:G,MATCH(C24,Pregnancy_Physiology_Defaults!A:A,0))</x:f>
        <x:v>1.45</x:v>
      </x:c>
      <x:c r="P24" s="20">
        <x:f>INDEX(Pregnancy_Physiology_Defaults!H:H,MATCH(C24,Pregnancy_Physiology_Defaults!A:A,0))</x:f>
        <x:v>1.1</x:v>
      </x:c>
      <x:c r="Q24" s="20">
        <x:f>INDEX(Pregnancy_Physiology_Defaults!E:E,MATCH(C24,Pregnancy_Physiology_Defaults!A:A,0))</x:f>
        <x:v>1.35</x:v>
      </x:c>
      <x:c r="R24" s="20">
        <x:f>INDEX(Pregnancy_Physiology_Defaults!F:F,MATCH(C24,Pregnancy_Physiology_Defaults!A:A,0))</x:f>
        <x:v>0.8</x:v>
      </x:c>
      <x:c r="S24" s="20">
        <x:f>INDEX(Pregnancy_Physiology_Defaults!I:I,MATCH(C24,Pregnancy_Physiology_Defaults!A:A,0))</x:f>
        <x:v>0.8</x:v>
      </x:c>
      <x:c r="T24" s="21">
        <x:f>F24*((H24*O24)+(I24*P24)+MAX(0,1-H24-I24))</x:f>
        <x:v>10.125</x:v>
      </x:c>
      <x:c r="U24" s="21">
        <x:f>G24*Q24*(1+(J24*(1-R24)))</x:f>
        <x:v>52.919999999999995</x:v>
      </x:c>
      <x:c r="V24" s="21">
        <x:f>IFERROR((D24*E24)/T24,"")</x:f>
        <x:v>9.382716049382717</x:v>
      </x:c>
      <x:c r="W24" s="21">
        <x:f>IFERROR(V24/24,"")</x:f>
        <x:v>0.3909465020576132</x:v>
      </x:c>
      <x:c r="X24" s="21">
        <x:f>IFERROR(W24*K24,"")</x:f>
        <x:v>0.003909465020576132</x:v>
      </x:c>
      <x:c r="Y24" s="21">
        <x:f>IFERROR(X24*L24*S24*M24,"")</x:f>
        <x:v>0.003753086419753087</x:v>
      </x:c>
      <x:c r="Z24" s="21">
        <x:f>IFERROR(Y24*N24,"")</x:f>
        <x:v>0.00562962962962963</x:v>
      </x:c>
      <x:c r="AA24" s="21">
        <x:f>Drug_PBPK_Parameters!Y9</x:f>
        <x:v>0.03</x:v>
      </x:c>
      <x:c r="AB24" s="22" t="str">
        <x:f>IF(AA24="","Needs threshold",IF(Z24&gt;=AA24,"Above prototype threshold","Below prototype threshold"))</x:f>
        <x:v>Below prototype threshold</x:v>
      </x:c>
      <x:c r="AC24" s="18" t="str">
        <x:f>Drug_PBPK_Parameters!C9</x:f>
        <x:v>Pregnancy maternal-fetal PBPK available</x:v>
      </x:c>
      <x:c r="AD24" s="18" t="str">
        <x:f>Drug_PBPK_Parameters!Z9</x:f>
        <x:v>Positive</x:v>
      </x:c>
      <x:c r="AE24" s="18" t="str">
        <x:f>Drug_PBPK_Parameters!F9</x:f>
        <x:v>https://pubmed.ncbi.nlm.nih.gov/34185331 ; https://pubmed.ncbi.nlm.nih.gov/26431339 ; https://pubmed.ncbi.nlm.nih.gov/24493205</x:v>
      </x:c>
    </x:row>
    <x:row r="25">
      <x:c r="A25" s="17" t="str">
        <x:f>Drug_PBPK_Parameters!A9</x:f>
        <x:v>DRUG-008</x:v>
      </x:c>
      <x:c r="B25" s="17" t="str">
        <x:f>Drug_PBPK_Parameters!B9</x:f>
        <x:v>Indomethacin</x:v>
      </x:c>
      <x:c r="C25" s="9" t="inlineStr">
        <x:is>
          <x:t xml:space="preserve">T3</x:t>
        </x:is>
      </x:c>
      <x:c r="D25" s="15">
        <x:f>Drug_PBPK_Parameters!H9</x:f>
        <x:v>100</x:v>
      </x:c>
      <x:c r="E25" s="20">
        <x:f>Drug_PBPK_Parameters!J9</x:f>
        <x:v>0.95</x:v>
      </x:c>
      <x:c r="F25" s="20">
        <x:f>Drug_PBPK_Parameters!L9</x:f>
        <x:v>9</x:v>
      </x:c>
      <x:c r="G25" s="20">
        <x:f>Drug_PBPK_Parameters!M9</x:f>
        <x:v>35</x:v>
      </x:c>
      <x:c r="H25" s="20">
        <x:f>Drug_PBPK_Parameters!S9</x:f>
        <x:v>0.1</x:v>
      </x:c>
      <x:c r="I25" s="20">
        <x:f>Drug_PBPK_Parameters!T9</x:f>
        <x:v>0.8</x:v>
      </x:c>
      <x:c r="J25" s="20">
        <x:f>Drug_PBPK_Parameters!U9</x:f>
        <x:v>0.6</x:v>
      </x:c>
      <x:c r="K25" s="20">
        <x:f>Drug_PBPK_Parameters!N9</x:f>
        <x:v>0.01</x:v>
      </x:c>
      <x:c r="L25" s="20">
        <x:f>Drug_PBPK_Parameters!V9</x:f>
        <x:v>1</x:v>
      </x:c>
      <x:c r="M25" s="20">
        <x:f>Drug_PBPK_Parameters!W9</x:f>
        <x:v>1.2</x:v>
      </x:c>
      <x:c r="N25" s="20">
        <x:f>Drug_PBPK_Parameters!X9</x:f>
        <x:v>1.5</x:v>
      </x:c>
      <x:c r="O25" s="20">
        <x:f>INDEX(Pregnancy_Physiology_Defaults!G:G,MATCH(C25,Pregnancy_Physiology_Defaults!A:A,0))</x:f>
        <x:v>1.5</x:v>
      </x:c>
      <x:c r="P25" s="20">
        <x:f>INDEX(Pregnancy_Physiology_Defaults!H:H,MATCH(C25,Pregnancy_Physiology_Defaults!A:A,0))</x:f>
        <x:v>1.15</x:v>
      </x:c>
      <x:c r="Q25" s="20">
        <x:f>INDEX(Pregnancy_Physiology_Defaults!E:E,MATCH(C25,Pregnancy_Physiology_Defaults!A:A,0))</x:f>
        <x:v>1.5</x:v>
      </x:c>
      <x:c r="R25" s="20">
        <x:f>INDEX(Pregnancy_Physiology_Defaults!F:F,MATCH(C25,Pregnancy_Physiology_Defaults!A:A,0))</x:f>
        <x:v>0.7</x:v>
      </x:c>
      <x:c r="S25" s="20">
        <x:f>INDEX(Pregnancy_Physiology_Defaults!I:I,MATCH(C25,Pregnancy_Physiology_Defaults!A:A,0))</x:f>
        <x:v>1</x:v>
      </x:c>
      <x:c r="T25" s="21">
        <x:f>F25*((H25*O25)+(I25*P25)+MAX(0,1-H25-I25))</x:f>
        <x:v>10.53</x:v>
      </x:c>
      <x:c r="U25" s="21">
        <x:f>G25*Q25*(1+(J25*(1-R25)))</x:f>
        <x:v>61.949999999999996</x:v>
      </x:c>
      <x:c r="V25" s="21">
        <x:f>IFERROR((D25*E25)/T25,"")</x:f>
        <x:v>9.02184235517569</x:v>
      </x:c>
      <x:c r="W25" s="21">
        <x:f>IFERROR(V25/24,"")</x:f>
        <x:v>0.3759100981323204</x:v>
      </x:c>
      <x:c r="X25" s="21">
        <x:f>IFERROR(W25*K25,"")</x:f>
        <x:v>0.003759100981323204</x:v>
      </x:c>
      <x:c r="Y25" s="21">
        <x:f>IFERROR(X25*L25*S25*M25,"")</x:f>
        <x:v>0.004510921177587845</x:v>
      </x:c>
      <x:c r="Z25" s="21">
        <x:f>IFERROR(Y25*N25,"")</x:f>
        <x:v>0.006766381766381767</x:v>
      </x:c>
      <x:c r="AA25" s="21">
        <x:f>Drug_PBPK_Parameters!Y9</x:f>
        <x:v>0.03</x:v>
      </x:c>
      <x:c r="AB25" s="22" t="str">
        <x:f>IF(AA25="","Needs threshold",IF(Z25&gt;=AA25,"Above prototype threshold","Below prototype threshold"))</x:f>
        <x:v>Below prototype threshold</x:v>
      </x:c>
      <x:c r="AC25" s="18" t="str">
        <x:f>Drug_PBPK_Parameters!C9</x:f>
        <x:v>Pregnancy maternal-fetal PBPK available</x:v>
      </x:c>
      <x:c r="AD25" s="18" t="str">
        <x:f>Drug_PBPK_Parameters!Z9</x:f>
        <x:v>Positive</x:v>
      </x:c>
      <x:c r="AE25" s="18" t="str">
        <x:f>Drug_PBPK_Parameters!F9</x:f>
        <x:v>https://pubmed.ncbi.nlm.nih.gov/34185331 ; https://pubmed.ncbi.nlm.nih.gov/26431339 ; https://pubmed.ncbi.nlm.nih.gov/24493205</x:v>
      </x:c>
    </x:row>
    <x:row r="26">
      <x:c r="A26" s="17" t="str">
        <x:f>Drug_PBPK_Parameters!A10</x:f>
        <x:v>DRUG-009</x:v>
      </x:c>
      <x:c r="B26" s="17" t="str">
        <x:f>Drug_PBPK_Parameters!B10</x:f>
        <x:v>Leflunomide</x:v>
      </x:c>
      <x:c r="C26" s="9" t="inlineStr">
        <x:is>
          <x:t xml:space="preserve">T1</x:t>
        </x:is>
      </x:c>
      <x:c r="D26" s="15">
        <x:f>Drug_PBPK_Parameters!H10</x:f>
        <x:v>20</x:v>
      </x:c>
      <x:c r="E26" s="20">
        <x:f>Drug_PBPK_Parameters!J10</x:f>
        <x:v>0.8</x:v>
      </x:c>
      <x:c r="F26" s="20">
        <x:f>Drug_PBPK_Parameters!L10</x:f>
        <x:v>0.5</x:v>
      </x:c>
      <x:c r="G26" s="20">
        <x:f>Drug_PBPK_Parameters!M10</x:f>
        <x:v>15</x:v>
      </x:c>
      <x:c r="H26" s="20">
        <x:f>Drug_PBPK_Parameters!S10</x:f>
        <x:v>0.05</x:v>
      </x:c>
      <x:c r="I26" s="20">
        <x:f>Drug_PBPK_Parameters!T10</x:f>
        <x:v>0.8</x:v>
      </x:c>
      <x:c r="J26" s="20">
        <x:f>Drug_PBPK_Parameters!U10</x:f>
        <x:v>0.5</x:v>
      </x:c>
      <x:c r="K26" s="20">
        <x:f>Drug_PBPK_Parameters!N10</x:f>
        <x:v>0.01</x:v>
      </x:c>
      <x:c r="L26" s="20">
        <x:f>Drug_PBPK_Parameters!V10</x:f>
        <x:v>0.85</x:v>
      </x:c>
      <x:c r="M26" s="20">
        <x:f>Drug_PBPK_Parameters!W10</x:f>
        <x:v>1.1</x:v>
      </x:c>
      <x:c r="N26" s="20">
        <x:f>Drug_PBPK_Parameters!X10</x:f>
        <x:v>1.3</x:v>
      </x:c>
      <x:c r="O26" s="20">
        <x:f>INDEX(Pregnancy_Physiology_Defaults!G:G,MATCH(C26,Pregnancy_Physiology_Defaults!A:A,0))</x:f>
        <x:v>1.3</x:v>
      </x:c>
      <x:c r="P26" s="20">
        <x:f>INDEX(Pregnancy_Physiology_Defaults!H:H,MATCH(C26,Pregnancy_Physiology_Defaults!A:A,0))</x:f>
        <x:v>1.05</x:v>
      </x:c>
      <x:c r="Q26" s="20">
        <x:f>INDEX(Pregnancy_Physiology_Defaults!E:E,MATCH(C26,Pregnancy_Physiology_Defaults!A:A,0))</x:f>
        <x:v>1.15</x:v>
      </x:c>
      <x:c r="R26" s="20">
        <x:f>INDEX(Pregnancy_Physiology_Defaults!F:F,MATCH(C26,Pregnancy_Physiology_Defaults!A:A,0))</x:f>
        <x:v>0.9</x:v>
      </x:c>
      <x:c r="S26" s="20">
        <x:f>INDEX(Pregnancy_Physiology_Defaults!I:I,MATCH(C26,Pregnancy_Physiology_Defaults!A:A,0))</x:f>
        <x:v>0.5</x:v>
      </x:c>
      <x:c r="T26" s="21">
        <x:f>F26*((H26*O26)+(I26*P26)+MAX(0,1-H26-I26))</x:f>
        <x:v>0.5275</x:v>
      </x:c>
      <x:c r="U26" s="21">
        <x:f>G26*Q26*(1+(J26*(1-R26)))</x:f>
        <x:v>18.1125</x:v>
      </x:c>
      <x:c r="V26" s="21">
        <x:f>IFERROR((D26*E26)/T26,"")</x:f>
        <x:v>30.33175355450237</x:v>
      </x:c>
      <x:c r="W26" s="21">
        <x:f>IFERROR(V26/24,"")</x:f>
        <x:v>1.263823064770932</x:v>
      </x:c>
      <x:c r="X26" s="21">
        <x:f>IFERROR(W26*K26,"")</x:f>
        <x:v>0.01263823064770932</x:v>
      </x:c>
      <x:c r="Y26" s="21">
        <x:f>IFERROR(X26*L26*S26*M26,"")</x:f>
        <x:v>0.005908372827804108</x:v>
      </x:c>
      <x:c r="Z26" s="21">
        <x:f>IFERROR(Y26*N26,"")</x:f>
        <x:v>0.00768088467614534</x:v>
      </x:c>
      <x:c r="AA26" s="21">
        <x:f>Drug_PBPK_Parameters!Y10</x:f>
        <x:v>0.02</x:v>
      </x:c>
      <x:c r="AB26" s="22" t="str">
        <x:f>IF(AA26="","Needs threshold",IF(Z26&gt;=AA26,"Above prototype threshold","Below prototype threshold"))</x:f>
        <x:v>Below prototype threshold</x:v>
      </x:c>
      <x:c r="AC26" s="18" t="str">
        <x:f>Drug_PBPK_Parameters!C10</x:f>
        <x:v>No dedicated pregnancy PBPK identified in quick screen</x:v>
      </x:c>
      <x:c r="AD26" s="18" t="str">
        <x:f>Drug_PBPK_Parameters!Z10</x:f>
        <x:v>Positive</x:v>
      </x:c>
      <x:c r="AE26" s="18">
        <x:f>Drug_PBPK_Parameters!F10</x:f>
        <x:v>0</x:v>
      </x:c>
    </x:row>
    <x:row r="27">
      <x:c r="A27" s="17" t="str">
        <x:f>Drug_PBPK_Parameters!A10</x:f>
        <x:v>DRUG-009</x:v>
      </x:c>
      <x:c r="B27" s="17" t="str">
        <x:f>Drug_PBPK_Parameters!B10</x:f>
        <x:v>Leflunomide</x:v>
      </x:c>
      <x:c r="C27" s="9" t="inlineStr">
        <x:is>
          <x:t xml:space="preserve">T2</x:t>
        </x:is>
      </x:c>
      <x:c r="D27" s="15">
        <x:f>Drug_PBPK_Parameters!H10</x:f>
        <x:v>20</x:v>
      </x:c>
      <x:c r="E27" s="20">
        <x:f>Drug_PBPK_Parameters!J10</x:f>
        <x:v>0.8</x:v>
      </x:c>
      <x:c r="F27" s="20">
        <x:f>Drug_PBPK_Parameters!L10</x:f>
        <x:v>0.5</x:v>
      </x:c>
      <x:c r="G27" s="20">
        <x:f>Drug_PBPK_Parameters!M10</x:f>
        <x:v>15</x:v>
      </x:c>
      <x:c r="H27" s="20">
        <x:f>Drug_PBPK_Parameters!S10</x:f>
        <x:v>0.05</x:v>
      </x:c>
      <x:c r="I27" s="20">
        <x:f>Drug_PBPK_Parameters!T10</x:f>
        <x:v>0.8</x:v>
      </x:c>
      <x:c r="J27" s="20">
        <x:f>Drug_PBPK_Parameters!U10</x:f>
        <x:v>0.5</x:v>
      </x:c>
      <x:c r="K27" s="20">
        <x:f>Drug_PBPK_Parameters!N10</x:f>
        <x:v>0.01</x:v>
      </x:c>
      <x:c r="L27" s="20">
        <x:f>Drug_PBPK_Parameters!V10</x:f>
        <x:v>0.85</x:v>
      </x:c>
      <x:c r="M27" s="20">
        <x:f>Drug_PBPK_Parameters!W10</x:f>
        <x:v>1.1</x:v>
      </x:c>
      <x:c r="N27" s="20">
        <x:f>Drug_PBPK_Parameters!X10</x:f>
        <x:v>1.3</x:v>
      </x:c>
      <x:c r="O27" s="20">
        <x:f>INDEX(Pregnancy_Physiology_Defaults!G:G,MATCH(C27,Pregnancy_Physiology_Defaults!A:A,0))</x:f>
        <x:v>1.45</x:v>
      </x:c>
      <x:c r="P27" s="20">
        <x:f>INDEX(Pregnancy_Physiology_Defaults!H:H,MATCH(C27,Pregnancy_Physiology_Defaults!A:A,0))</x:f>
        <x:v>1.1</x:v>
      </x:c>
      <x:c r="Q27" s="20">
        <x:f>INDEX(Pregnancy_Physiology_Defaults!E:E,MATCH(C27,Pregnancy_Physiology_Defaults!A:A,0))</x:f>
        <x:v>1.35</x:v>
      </x:c>
      <x:c r="R27" s="20">
        <x:f>INDEX(Pregnancy_Physiology_Defaults!F:F,MATCH(C27,Pregnancy_Physiology_Defaults!A:A,0))</x:f>
        <x:v>0.8</x:v>
      </x:c>
      <x:c r="S27" s="20">
        <x:f>INDEX(Pregnancy_Physiology_Defaults!I:I,MATCH(C27,Pregnancy_Physiology_Defaults!A:A,0))</x:f>
        <x:v>0.8</x:v>
      </x:c>
      <x:c r="T27" s="21">
        <x:f>F27*((H27*O27)+(I27*P27)+MAX(0,1-H27-I27))</x:f>
        <x:v>0.55125</x:v>
      </x:c>
      <x:c r="U27" s="21">
        <x:f>G27*Q27*(1+(J27*(1-R27)))</x:f>
        <x:v>22.275000000000002</x:v>
      </x:c>
      <x:c r="V27" s="21">
        <x:f>IFERROR((D27*E27)/T27,"")</x:f>
        <x:v>29.024943310657594</x:v>
      </x:c>
      <x:c r="W27" s="21">
        <x:f>IFERROR(V27/24,"")</x:f>
        <x:v>1.2093726379440664</x:v>
      </x:c>
      <x:c r="X27" s="21">
        <x:f>IFERROR(W27*K27,"")</x:f>
        <x:v>0.012093726379440664</x:v>
      </x:c>
      <x:c r="Y27" s="21">
        <x:f>IFERROR(X27*L27*S27*M27,"")</x:f>
        <x:v>0.009046107331821616</x:v>
      </x:c>
      <x:c r="Z27" s="21">
        <x:f>IFERROR(Y27*N27,"")</x:f>
        <x:v>0.011759939531368101</x:v>
      </x:c>
      <x:c r="AA27" s="21">
        <x:f>Drug_PBPK_Parameters!Y10</x:f>
        <x:v>0.02</x:v>
      </x:c>
      <x:c r="AB27" s="22" t="str">
        <x:f>IF(AA27="","Needs threshold",IF(Z27&gt;=AA27,"Above prototype threshold","Below prototype threshold"))</x:f>
        <x:v>Below prototype threshold</x:v>
      </x:c>
      <x:c r="AC27" s="18" t="str">
        <x:f>Drug_PBPK_Parameters!C10</x:f>
        <x:v>No dedicated pregnancy PBPK identified in quick screen</x:v>
      </x:c>
      <x:c r="AD27" s="18" t="str">
        <x:f>Drug_PBPK_Parameters!Z10</x:f>
        <x:v>Positive</x:v>
      </x:c>
      <x:c r="AE27" s="18">
        <x:f>Drug_PBPK_Parameters!F10</x:f>
        <x:v>0</x:v>
      </x:c>
    </x:row>
    <x:row r="28">
      <x:c r="A28" s="17" t="str">
        <x:f>Drug_PBPK_Parameters!A10</x:f>
        <x:v>DRUG-009</x:v>
      </x:c>
      <x:c r="B28" s="17" t="str">
        <x:f>Drug_PBPK_Parameters!B10</x:f>
        <x:v>Leflunomide</x:v>
      </x:c>
      <x:c r="C28" s="9" t="inlineStr">
        <x:is>
          <x:t xml:space="preserve">T3</x:t>
        </x:is>
      </x:c>
      <x:c r="D28" s="15">
        <x:f>Drug_PBPK_Parameters!H10</x:f>
        <x:v>20</x:v>
      </x:c>
      <x:c r="E28" s="20">
        <x:f>Drug_PBPK_Parameters!J10</x:f>
        <x:v>0.8</x:v>
      </x:c>
      <x:c r="F28" s="20">
        <x:f>Drug_PBPK_Parameters!L10</x:f>
        <x:v>0.5</x:v>
      </x:c>
      <x:c r="G28" s="20">
        <x:f>Drug_PBPK_Parameters!M10</x:f>
        <x:v>15</x:v>
      </x:c>
      <x:c r="H28" s="20">
        <x:f>Drug_PBPK_Parameters!S10</x:f>
        <x:v>0.05</x:v>
      </x:c>
      <x:c r="I28" s="20">
        <x:f>Drug_PBPK_Parameters!T10</x:f>
        <x:v>0.8</x:v>
      </x:c>
      <x:c r="J28" s="20">
        <x:f>Drug_PBPK_Parameters!U10</x:f>
        <x:v>0.5</x:v>
      </x:c>
      <x:c r="K28" s="20">
        <x:f>Drug_PBPK_Parameters!N10</x:f>
        <x:v>0.01</x:v>
      </x:c>
      <x:c r="L28" s="20">
        <x:f>Drug_PBPK_Parameters!V10</x:f>
        <x:v>0.85</x:v>
      </x:c>
      <x:c r="M28" s="20">
        <x:f>Drug_PBPK_Parameters!W10</x:f>
        <x:v>1.1</x:v>
      </x:c>
      <x:c r="N28" s="20">
        <x:f>Drug_PBPK_Parameters!X10</x:f>
        <x:v>1.3</x:v>
      </x:c>
      <x:c r="O28" s="20">
        <x:f>INDEX(Pregnancy_Physiology_Defaults!G:G,MATCH(C28,Pregnancy_Physiology_Defaults!A:A,0))</x:f>
        <x:v>1.5</x:v>
      </x:c>
      <x:c r="P28" s="20">
        <x:f>INDEX(Pregnancy_Physiology_Defaults!H:H,MATCH(C28,Pregnancy_Physiology_Defaults!A:A,0))</x:f>
        <x:v>1.15</x:v>
      </x:c>
      <x:c r="Q28" s="20">
        <x:f>INDEX(Pregnancy_Physiology_Defaults!E:E,MATCH(C28,Pregnancy_Physiology_Defaults!A:A,0))</x:f>
        <x:v>1.5</x:v>
      </x:c>
      <x:c r="R28" s="20">
        <x:f>INDEX(Pregnancy_Physiology_Defaults!F:F,MATCH(C28,Pregnancy_Physiology_Defaults!A:A,0))</x:f>
        <x:v>0.7</x:v>
      </x:c>
      <x:c r="S28" s="20">
        <x:f>INDEX(Pregnancy_Physiology_Defaults!I:I,MATCH(C28,Pregnancy_Physiology_Defaults!A:A,0))</x:f>
        <x:v>1</x:v>
      </x:c>
      <x:c r="T28" s="21">
        <x:f>F28*((H28*O28)+(I28*P28)+MAX(0,1-H28-I28))</x:f>
        <x:v>0.5724999999999999</x:v>
      </x:c>
      <x:c r="U28" s="21">
        <x:f>G28*Q28*(1+(J28*(1-R28)))</x:f>
        <x:v>25.874999999999996</x:v>
      </x:c>
      <x:c r="V28" s="21">
        <x:f>IFERROR((D28*E28)/T28,"")</x:f>
        <x:v>27.947598253275114</x:v>
      </x:c>
      <x:c r="W28" s="21">
        <x:f>IFERROR(V28/24,"")</x:f>
        <x:v>1.1644832605531297</x:v>
      </x:c>
      <x:c r="X28" s="21">
        <x:f>IFERROR(W28*K28,"")</x:f>
        <x:v>0.011644832605531298</x:v>
      </x:c>
      <x:c r="Y28" s="21">
        <x:f>IFERROR(X28*L28*S28*M28,"")</x:f>
        <x:v>0.010887918486171764</x:v>
      </x:c>
      <x:c r="Z28" s="21">
        <x:f>IFERROR(Y28*N28,"")</x:f>
        <x:v>0.014154294032023293</x:v>
      </x:c>
      <x:c r="AA28" s="21">
        <x:f>Drug_PBPK_Parameters!Y10</x:f>
        <x:v>0.02</x:v>
      </x:c>
      <x:c r="AB28" s="22" t="str">
        <x:f>IF(AA28="","Needs threshold",IF(Z28&gt;=AA28,"Above prototype threshold","Below prototype threshold"))</x:f>
        <x:v>Below prototype threshold</x:v>
      </x:c>
      <x:c r="AC28" s="18" t="str">
        <x:f>Drug_PBPK_Parameters!C10</x:f>
        <x:v>No dedicated pregnancy PBPK identified in quick screen</x:v>
      </x:c>
      <x:c r="AD28" s="18" t="str">
        <x:f>Drug_PBPK_Parameters!Z10</x:f>
        <x:v>Positive</x:v>
      </x:c>
      <x:c r="AE28" s="18">
        <x:f>Drug_PBPK_Parameters!F10</x:f>
        <x:v>0</x:v>
      </x:c>
    </x:row>
    <x:row r="29">
      <x:c r="A29" s="17" t="str">
        <x:f>Drug_PBPK_Parameters!A11</x:f>
        <x:v>DRUG-010</x:v>
      </x:c>
      <x:c r="B29" s="17" t="str">
        <x:f>Drug_PBPK_Parameters!B11</x:f>
        <x:v>Letrozole</x:v>
      </x:c>
      <x:c r="C29" s="9" t="inlineStr">
        <x:is>
          <x:t xml:space="preserve">T1</x:t>
        </x:is>
      </x:c>
      <x:c r="D29" s="15">
        <x:f>Drug_PBPK_Parameters!H11</x:f>
        <x:v>2.5</x:v>
      </x:c>
      <x:c r="E29" s="20">
        <x:f>Drug_PBPK_Parameters!J11</x:f>
        <x:v>0.99</x:v>
      </x:c>
      <x:c r="F29" s="20">
        <x:f>Drug_PBPK_Parameters!L11</x:f>
        <x:v>6</x:v>
      </x:c>
      <x:c r="G29" s="20">
        <x:f>Drug_PBPK_Parameters!M11</x:f>
        <x:v>110</x:v>
      </x:c>
      <x:c r="H29" s="20">
        <x:f>Drug_PBPK_Parameters!S11</x:f>
        <x:v>0.1</x:v>
      </x:c>
      <x:c r="I29" s="20">
        <x:f>Drug_PBPK_Parameters!T11</x:f>
        <x:v>0.8</x:v>
      </x:c>
      <x:c r="J29" s="20">
        <x:f>Drug_PBPK_Parameters!U11</x:f>
        <x:v>0.3</x:v>
      </x:c>
      <x:c r="K29" s="20">
        <x:f>Drug_PBPK_Parameters!N11</x:f>
        <x:v>0.4</x:v>
      </x:c>
      <x:c r="L29" s="20">
        <x:f>Drug_PBPK_Parameters!V11</x:f>
        <x:v>0.75</x:v>
      </x:c>
      <x:c r="M29" s="20">
        <x:f>Drug_PBPK_Parameters!W11</x:f>
        <x:v>1</x:v>
      </x:c>
      <x:c r="N29" s="20">
        <x:f>Drug_PBPK_Parameters!X11</x:f>
        <x:v>1.2</x:v>
      </x:c>
      <x:c r="O29" s="20">
        <x:f>INDEX(Pregnancy_Physiology_Defaults!G:G,MATCH(C29,Pregnancy_Physiology_Defaults!A:A,0))</x:f>
        <x:v>1.3</x:v>
      </x:c>
      <x:c r="P29" s="20">
        <x:f>INDEX(Pregnancy_Physiology_Defaults!H:H,MATCH(C29,Pregnancy_Physiology_Defaults!A:A,0))</x:f>
        <x:v>1.05</x:v>
      </x:c>
      <x:c r="Q29" s="20">
        <x:f>INDEX(Pregnancy_Physiology_Defaults!E:E,MATCH(C29,Pregnancy_Physiology_Defaults!A:A,0))</x:f>
        <x:v>1.15</x:v>
      </x:c>
      <x:c r="R29" s="20">
        <x:f>INDEX(Pregnancy_Physiology_Defaults!F:F,MATCH(C29,Pregnancy_Physiology_Defaults!A:A,0))</x:f>
        <x:v>0.9</x:v>
      </x:c>
      <x:c r="S29" s="20">
        <x:f>INDEX(Pregnancy_Physiology_Defaults!I:I,MATCH(C29,Pregnancy_Physiology_Defaults!A:A,0))</x:f>
        <x:v>0.5</x:v>
      </x:c>
      <x:c r="T29" s="21">
        <x:f>F29*((H29*O29)+(I29*P29)+MAX(0,1-H29-I29))</x:f>
        <x:v>6.42</x:v>
      </x:c>
      <x:c r="U29" s="21">
        <x:f>G29*Q29*(1+(J29*(1-R29)))</x:f>
        <x:v>130.295</x:v>
      </x:c>
      <x:c r="V29" s="21">
        <x:f>IFERROR((D29*E29)/T29,"")</x:f>
        <x:v>0.3855140186915888</x:v>
      </x:c>
      <x:c r="W29" s="21">
        <x:f>IFERROR(V29/24,"")</x:f>
        <x:v>0.016063084112149534</x:v>
      </x:c>
      <x:c r="X29" s="21">
        <x:f>IFERROR(W29*K29,"")</x:f>
        <x:v>0.006425233644859814</x:v>
      </x:c>
      <x:c r="Y29" s="21">
        <x:f>IFERROR(X29*L29*S29*M29,"")</x:f>
        <x:v>0.00240946261682243</x:v>
      </x:c>
      <x:c r="Z29" s="21">
        <x:f>IFERROR(Y29*N29,"")</x:f>
        <x:v>0.0028913551401869163</x:v>
      </x:c>
      <x:c r="AA29" s="21">
        <x:f>Drug_PBPK_Parameters!Y11</x:f>
        <x:v>0.1</x:v>
      </x:c>
      <x:c r="AB29" s="22" t="str">
        <x:f>IF(AA29="","Needs threshold",IF(Z29&gt;=AA29,"Above prototype threshold","Below prototype threshold"))</x:f>
        <x:v>Below prototype threshold</x:v>
      </x:c>
      <x:c r="AC29" s="18" t="str">
        <x:f>Drug_PBPK_Parameters!C11</x:f>
        <x:v>No dedicated pregnancy PBPK identified in quick screen</x:v>
      </x:c>
      <x:c r="AD29" s="18" t="str">
        <x:f>Drug_PBPK_Parameters!Z11</x:f>
        <x:v>Positive</x:v>
      </x:c>
      <x:c r="AE29" s="18">
        <x:f>Drug_PBPK_Parameters!F11</x:f>
        <x:v>0</x:v>
      </x:c>
    </x:row>
    <x:row r="30">
      <x:c r="A30" s="17" t="str">
        <x:f>Drug_PBPK_Parameters!A11</x:f>
        <x:v>DRUG-010</x:v>
      </x:c>
      <x:c r="B30" s="17" t="str">
        <x:f>Drug_PBPK_Parameters!B11</x:f>
        <x:v>Letrozole</x:v>
      </x:c>
      <x:c r="C30" s="9" t="inlineStr">
        <x:is>
          <x:t xml:space="preserve">T2</x:t>
        </x:is>
      </x:c>
      <x:c r="D30" s="15">
        <x:f>Drug_PBPK_Parameters!H11</x:f>
        <x:v>2.5</x:v>
      </x:c>
      <x:c r="E30" s="20">
        <x:f>Drug_PBPK_Parameters!J11</x:f>
        <x:v>0.99</x:v>
      </x:c>
      <x:c r="F30" s="20">
        <x:f>Drug_PBPK_Parameters!L11</x:f>
        <x:v>6</x:v>
      </x:c>
      <x:c r="G30" s="20">
        <x:f>Drug_PBPK_Parameters!M11</x:f>
        <x:v>110</x:v>
      </x:c>
      <x:c r="H30" s="20">
        <x:f>Drug_PBPK_Parameters!S11</x:f>
        <x:v>0.1</x:v>
      </x:c>
      <x:c r="I30" s="20">
        <x:f>Drug_PBPK_Parameters!T11</x:f>
        <x:v>0.8</x:v>
      </x:c>
      <x:c r="J30" s="20">
        <x:f>Drug_PBPK_Parameters!U11</x:f>
        <x:v>0.3</x:v>
      </x:c>
      <x:c r="K30" s="20">
        <x:f>Drug_PBPK_Parameters!N11</x:f>
        <x:v>0.4</x:v>
      </x:c>
      <x:c r="L30" s="20">
        <x:f>Drug_PBPK_Parameters!V11</x:f>
        <x:v>0.75</x:v>
      </x:c>
      <x:c r="M30" s="20">
        <x:f>Drug_PBPK_Parameters!W11</x:f>
        <x:v>1</x:v>
      </x:c>
      <x:c r="N30" s="20">
        <x:f>Drug_PBPK_Parameters!X11</x:f>
        <x:v>1.2</x:v>
      </x:c>
      <x:c r="O30" s="20">
        <x:f>INDEX(Pregnancy_Physiology_Defaults!G:G,MATCH(C30,Pregnancy_Physiology_Defaults!A:A,0))</x:f>
        <x:v>1.45</x:v>
      </x:c>
      <x:c r="P30" s="20">
        <x:f>INDEX(Pregnancy_Physiology_Defaults!H:H,MATCH(C30,Pregnancy_Physiology_Defaults!A:A,0))</x:f>
        <x:v>1.1</x:v>
      </x:c>
      <x:c r="Q30" s="20">
        <x:f>INDEX(Pregnancy_Physiology_Defaults!E:E,MATCH(C30,Pregnancy_Physiology_Defaults!A:A,0))</x:f>
        <x:v>1.35</x:v>
      </x:c>
      <x:c r="R30" s="20">
        <x:f>INDEX(Pregnancy_Physiology_Defaults!F:F,MATCH(C30,Pregnancy_Physiology_Defaults!A:A,0))</x:f>
        <x:v>0.8</x:v>
      </x:c>
      <x:c r="S30" s="20">
        <x:f>INDEX(Pregnancy_Physiology_Defaults!I:I,MATCH(C30,Pregnancy_Physiology_Defaults!A:A,0))</x:f>
        <x:v>0.8</x:v>
      </x:c>
      <x:c r="T30" s="21">
        <x:f>F30*((H30*O30)+(I30*P30)+MAX(0,1-H30-I30))</x:f>
        <x:v>6.75</x:v>
      </x:c>
      <x:c r="U30" s="21">
        <x:f>G30*Q30*(1+(J30*(1-R30)))</x:f>
        <x:v>157.41</x:v>
      </x:c>
      <x:c r="V30" s="21">
        <x:f>IFERROR((D30*E30)/T30,"")</x:f>
        <x:v>0.3666666666666667</x:v>
      </x:c>
      <x:c r="W30" s="21">
        <x:f>IFERROR(V30/24,"")</x:f>
        <x:v>0.015277777777777779</x:v>
      </x:c>
      <x:c r="X30" s="21">
        <x:f>IFERROR(W30*K30,"")</x:f>
        <x:v>0.006111111111111112</x:v>
      </x:c>
      <x:c r="Y30" s="21">
        <x:f>IFERROR(X30*L30*S30*M30,"")</x:f>
        <x:v>0.0036666666666666675</x:v>
      </x:c>
      <x:c r="Z30" s="21">
        <x:f>IFERROR(Y30*N30,"")</x:f>
        <x:v>0.004400000000000001</x:v>
      </x:c>
      <x:c r="AA30" s="21">
        <x:f>Drug_PBPK_Parameters!Y11</x:f>
        <x:v>0.1</x:v>
      </x:c>
      <x:c r="AB30" s="22" t="str">
        <x:f>IF(AA30="","Needs threshold",IF(Z30&gt;=AA30,"Above prototype threshold","Below prototype threshold"))</x:f>
        <x:v>Below prototype threshold</x:v>
      </x:c>
      <x:c r="AC30" s="18" t="str">
        <x:f>Drug_PBPK_Parameters!C11</x:f>
        <x:v>No dedicated pregnancy PBPK identified in quick screen</x:v>
      </x:c>
      <x:c r="AD30" s="18" t="str">
        <x:f>Drug_PBPK_Parameters!Z11</x:f>
        <x:v>Positive</x:v>
      </x:c>
      <x:c r="AE30" s="18">
        <x:f>Drug_PBPK_Parameters!F11</x:f>
        <x:v>0</x:v>
      </x:c>
    </x:row>
    <x:row r="31">
      <x:c r="A31" s="17" t="str">
        <x:f>Drug_PBPK_Parameters!A11</x:f>
        <x:v>DRUG-010</x:v>
      </x:c>
      <x:c r="B31" s="17" t="str">
        <x:f>Drug_PBPK_Parameters!B11</x:f>
        <x:v>Letrozole</x:v>
      </x:c>
      <x:c r="C31" s="9" t="inlineStr">
        <x:is>
          <x:t xml:space="preserve">T3</x:t>
        </x:is>
      </x:c>
      <x:c r="D31" s="15">
        <x:f>Drug_PBPK_Parameters!H11</x:f>
        <x:v>2.5</x:v>
      </x:c>
      <x:c r="E31" s="20">
        <x:f>Drug_PBPK_Parameters!J11</x:f>
        <x:v>0.99</x:v>
      </x:c>
      <x:c r="F31" s="20">
        <x:f>Drug_PBPK_Parameters!L11</x:f>
        <x:v>6</x:v>
      </x:c>
      <x:c r="G31" s="20">
        <x:f>Drug_PBPK_Parameters!M11</x:f>
        <x:v>110</x:v>
      </x:c>
      <x:c r="H31" s="20">
        <x:f>Drug_PBPK_Parameters!S11</x:f>
        <x:v>0.1</x:v>
      </x:c>
      <x:c r="I31" s="20">
        <x:f>Drug_PBPK_Parameters!T11</x:f>
        <x:v>0.8</x:v>
      </x:c>
      <x:c r="J31" s="20">
        <x:f>Drug_PBPK_Parameters!U11</x:f>
        <x:v>0.3</x:v>
      </x:c>
      <x:c r="K31" s="20">
        <x:f>Drug_PBPK_Parameters!N11</x:f>
        <x:v>0.4</x:v>
      </x:c>
      <x:c r="L31" s="20">
        <x:f>Drug_PBPK_Parameters!V11</x:f>
        <x:v>0.75</x:v>
      </x:c>
      <x:c r="M31" s="20">
        <x:f>Drug_PBPK_Parameters!W11</x:f>
        <x:v>1</x:v>
      </x:c>
      <x:c r="N31" s="20">
        <x:f>Drug_PBPK_Parameters!X11</x:f>
        <x:v>1.2</x:v>
      </x:c>
      <x:c r="O31" s="20">
        <x:f>INDEX(Pregnancy_Physiology_Defaults!G:G,MATCH(C31,Pregnancy_Physiology_Defaults!A:A,0))</x:f>
        <x:v>1.5</x:v>
      </x:c>
      <x:c r="P31" s="20">
        <x:f>INDEX(Pregnancy_Physiology_Defaults!H:H,MATCH(C31,Pregnancy_Physiology_Defaults!A:A,0))</x:f>
        <x:v>1.15</x:v>
      </x:c>
      <x:c r="Q31" s="20">
        <x:f>INDEX(Pregnancy_Physiology_Defaults!E:E,MATCH(C31,Pregnancy_Physiology_Defaults!A:A,0))</x:f>
        <x:v>1.5</x:v>
      </x:c>
      <x:c r="R31" s="20">
        <x:f>INDEX(Pregnancy_Physiology_Defaults!F:F,MATCH(C31,Pregnancy_Physiology_Defaults!A:A,0))</x:f>
        <x:v>0.7</x:v>
      </x:c>
      <x:c r="S31" s="20">
        <x:f>INDEX(Pregnancy_Physiology_Defaults!I:I,MATCH(C31,Pregnancy_Physiology_Defaults!A:A,0))</x:f>
        <x:v>1</x:v>
      </x:c>
      <x:c r="T31" s="21">
        <x:f>F31*((H31*O31)+(I31*P31)+MAX(0,1-H31-I31))</x:f>
        <x:v>7.02</x:v>
      </x:c>
      <x:c r="U31" s="21">
        <x:f>G31*Q31*(1+(J31*(1-R31)))</x:f>
        <x:v>179.85000000000002</x:v>
      </x:c>
      <x:c r="V31" s="21">
        <x:f>IFERROR((D31*E31)/T31,"")</x:f>
        <x:v>0.3525641025641026</x:v>
      </x:c>
      <x:c r="W31" s="21">
        <x:f>IFERROR(V31/24,"")</x:f>
        <x:v>0.014690170940170942</x:v>
      </x:c>
      <x:c r="X31" s="21">
        <x:f>IFERROR(W31*K31,"")</x:f>
        <x:v>0.005876068376068377</x:v>
      </x:c>
      <x:c r="Y31" s="21">
        <x:f>IFERROR(X31*L31*S31*M31,"")</x:f>
        <x:v>0.004407051282051283</x:v>
      </x:c>
      <x:c r="Z31" s="21">
        <x:f>IFERROR(Y31*N31,"")</x:f>
        <x:v>0.00528846153846154</x:v>
      </x:c>
      <x:c r="AA31" s="21">
        <x:f>Drug_PBPK_Parameters!Y11</x:f>
        <x:v>0.1</x:v>
      </x:c>
      <x:c r="AB31" s="22" t="str">
        <x:f>IF(AA31="","Needs threshold",IF(Z31&gt;=AA31,"Above prototype threshold","Below prototype threshold"))</x:f>
        <x:v>Below prototype threshold</x:v>
      </x:c>
      <x:c r="AC31" s="18" t="str">
        <x:f>Drug_PBPK_Parameters!C11</x:f>
        <x:v>No dedicated pregnancy PBPK identified in quick screen</x:v>
      </x:c>
      <x:c r="AD31" s="18" t="str">
        <x:f>Drug_PBPK_Parameters!Z11</x:f>
        <x:v>Positive</x:v>
      </x:c>
      <x:c r="AE31" s="18">
        <x:f>Drug_PBPK_Parameters!F11</x:f>
        <x:v>0</x:v>
      </x:c>
    </x:row>
    <x:row r="32">
      <x:c r="A32" s="17" t="str">
        <x:f>Drug_PBPK_Parameters!A12</x:f>
        <x:v>DRUG-011</x:v>
      </x:c>
      <x:c r="B32" s="17" t="str">
        <x:f>Drug_PBPK_Parameters!B12</x:f>
        <x:v>Olaparib</x:v>
      </x:c>
      <x:c r="C32" s="9" t="inlineStr">
        <x:is>
          <x:t xml:space="preserve">T1</x:t>
        </x:is>
      </x:c>
      <x:c r="D32" s="15">
        <x:f>Drug_PBPK_Parameters!H12</x:f>
        <x:v>50</x:v>
      </x:c>
      <x:c r="E32" s="20">
        <x:f>Drug_PBPK_Parameters!J12</x:f>
        <x:v>0.5</x:v>
      </x:c>
      <x:c r="F32" s="20">
        <x:f>Drug_PBPK_Parameters!L12</x:f>
        <x:v>12</x:v>
      </x:c>
      <x:c r="G32" s="20">
        <x:f>Drug_PBPK_Parameters!M12</x:f>
        <x:v>160</x:v>
      </x:c>
      <x:c r="H32" s="20">
        <x:f>Drug_PBPK_Parameters!S12</x:f>
        <x:v>0.15</x:v>
      </x:c>
      <x:c r="I32" s="20">
        <x:f>Drug_PBPK_Parameters!T12</x:f>
        <x:v>0.75</x:v>
      </x:c>
      <x:c r="J32" s="20">
        <x:f>Drug_PBPK_Parameters!U12</x:f>
        <x:v>0.3</x:v>
      </x:c>
      <x:c r="K32" s="20">
        <x:f>Drug_PBPK_Parameters!N12</x:f>
        <x:v>0.18</x:v>
      </x:c>
      <x:c r="L32" s="20">
        <x:f>Drug_PBPK_Parameters!V12</x:f>
        <x:v>0.8</x:v>
      </x:c>
      <x:c r="M32" s="20">
        <x:f>Drug_PBPK_Parameters!W12</x:f>
        <x:v>1.1</x:v>
      </x:c>
      <x:c r="N32" s="20">
        <x:f>Drug_PBPK_Parameters!X12</x:f>
        <x:v>1.3</x:v>
      </x:c>
      <x:c r="O32" s="20">
        <x:f>INDEX(Pregnancy_Physiology_Defaults!G:G,MATCH(C32,Pregnancy_Physiology_Defaults!A:A,0))</x:f>
        <x:v>1.3</x:v>
      </x:c>
      <x:c r="P32" s="20">
        <x:f>INDEX(Pregnancy_Physiology_Defaults!H:H,MATCH(C32,Pregnancy_Physiology_Defaults!A:A,0))</x:f>
        <x:v>1.05</x:v>
      </x:c>
      <x:c r="Q32" s="20">
        <x:f>INDEX(Pregnancy_Physiology_Defaults!E:E,MATCH(C32,Pregnancy_Physiology_Defaults!A:A,0))</x:f>
        <x:v>1.15</x:v>
      </x:c>
      <x:c r="R32" s="20">
        <x:f>INDEX(Pregnancy_Physiology_Defaults!F:F,MATCH(C32,Pregnancy_Physiology_Defaults!A:A,0))</x:f>
        <x:v>0.9</x:v>
      </x:c>
      <x:c r="S32" s="20">
        <x:f>INDEX(Pregnancy_Physiology_Defaults!I:I,MATCH(C32,Pregnancy_Physiology_Defaults!A:A,0))</x:f>
        <x:v>0.5</x:v>
      </x:c>
      <x:c r="T32" s="21">
        <x:f>F32*((H32*O32)+(I32*P32)+MAX(0,1-H32-I32))</x:f>
        <x:v>12.99</x:v>
      </x:c>
      <x:c r="U32" s="21">
        <x:f>G32*Q32*(1+(J32*(1-R32)))</x:f>
        <x:v>189.52</x:v>
      </x:c>
      <x:c r="V32" s="21">
        <x:f>IFERROR((D32*E32)/T32,"")</x:f>
        <x:v>1.924557351809084</x:v>
      </x:c>
      <x:c r="W32" s="21">
        <x:f>IFERROR(V32/24,"")</x:f>
        <x:v>0.08018988965871184</x:v>
      </x:c>
      <x:c r="X32" s="21">
        <x:f>IFERROR(W32*K32,"")</x:f>
        <x:v>0.01443418013856813</x:v>
      </x:c>
      <x:c r="Y32" s="21">
        <x:f>IFERROR(X32*L32*S32*M32,"")</x:f>
        <x:v>0.006351039260969978</x:v>
      </x:c>
      <x:c r="Z32" s="21">
        <x:f>IFERROR(Y32*N32,"")</x:f>
        <x:v>0.008256351039260972</x:v>
      </x:c>
      <x:c r="AA32" s="21">
        <x:f>Drug_PBPK_Parameters!Y12</x:f>
        <x:v>0.06</x:v>
      </x:c>
      <x:c r="AB32" s="22" t="str">
        <x:f>IF(AA32="","Needs threshold",IF(Z32&gt;=AA32,"Above prototype threshold","Below prototype threshold"))</x:f>
        <x:v>Below prototype threshold</x:v>
      </x:c>
      <x:c r="AC32" s="18" t="str">
        <x:f>Drug_PBPK_Parameters!C12</x:f>
        <x:v>No dedicated pregnancy PBPK identified in quick screen</x:v>
      </x:c>
      <x:c r="AD32" s="18" t="str">
        <x:f>Drug_PBPK_Parameters!Z12</x:f>
        <x:v>Positive</x:v>
      </x:c>
      <x:c r="AE32" s="18">
        <x:f>Drug_PBPK_Parameters!F12</x:f>
        <x:v>0</x:v>
      </x:c>
    </x:row>
    <x:row r="33">
      <x:c r="A33" s="17" t="str">
        <x:f>Drug_PBPK_Parameters!A12</x:f>
        <x:v>DRUG-011</x:v>
      </x:c>
      <x:c r="B33" s="17" t="str">
        <x:f>Drug_PBPK_Parameters!B12</x:f>
        <x:v>Olaparib</x:v>
      </x:c>
      <x:c r="C33" s="9" t="inlineStr">
        <x:is>
          <x:t xml:space="preserve">T2</x:t>
        </x:is>
      </x:c>
      <x:c r="D33" s="15">
        <x:f>Drug_PBPK_Parameters!H12</x:f>
        <x:v>50</x:v>
      </x:c>
      <x:c r="E33" s="20">
        <x:f>Drug_PBPK_Parameters!J12</x:f>
        <x:v>0.5</x:v>
      </x:c>
      <x:c r="F33" s="20">
        <x:f>Drug_PBPK_Parameters!L12</x:f>
        <x:v>12</x:v>
      </x:c>
      <x:c r="G33" s="20">
        <x:f>Drug_PBPK_Parameters!M12</x:f>
        <x:v>160</x:v>
      </x:c>
      <x:c r="H33" s="20">
        <x:f>Drug_PBPK_Parameters!S12</x:f>
        <x:v>0.15</x:v>
      </x:c>
      <x:c r="I33" s="20">
        <x:f>Drug_PBPK_Parameters!T12</x:f>
        <x:v>0.75</x:v>
      </x:c>
      <x:c r="J33" s="20">
        <x:f>Drug_PBPK_Parameters!U12</x:f>
        <x:v>0.3</x:v>
      </x:c>
      <x:c r="K33" s="20">
        <x:f>Drug_PBPK_Parameters!N12</x:f>
        <x:v>0.18</x:v>
      </x:c>
      <x:c r="L33" s="20">
        <x:f>Drug_PBPK_Parameters!V12</x:f>
        <x:v>0.8</x:v>
      </x:c>
      <x:c r="M33" s="20">
        <x:f>Drug_PBPK_Parameters!W12</x:f>
        <x:v>1.1</x:v>
      </x:c>
      <x:c r="N33" s="20">
        <x:f>Drug_PBPK_Parameters!X12</x:f>
        <x:v>1.3</x:v>
      </x:c>
      <x:c r="O33" s="20">
        <x:f>INDEX(Pregnancy_Physiology_Defaults!G:G,MATCH(C33,Pregnancy_Physiology_Defaults!A:A,0))</x:f>
        <x:v>1.45</x:v>
      </x:c>
      <x:c r="P33" s="20">
        <x:f>INDEX(Pregnancy_Physiology_Defaults!H:H,MATCH(C33,Pregnancy_Physiology_Defaults!A:A,0))</x:f>
        <x:v>1.1</x:v>
      </x:c>
      <x:c r="Q33" s="20">
        <x:f>INDEX(Pregnancy_Physiology_Defaults!E:E,MATCH(C33,Pregnancy_Physiology_Defaults!A:A,0))</x:f>
        <x:v>1.35</x:v>
      </x:c>
      <x:c r="R33" s="20">
        <x:f>INDEX(Pregnancy_Physiology_Defaults!F:F,MATCH(C33,Pregnancy_Physiology_Defaults!A:A,0))</x:f>
        <x:v>0.8</x:v>
      </x:c>
      <x:c r="S33" s="20">
        <x:f>INDEX(Pregnancy_Physiology_Defaults!I:I,MATCH(C33,Pregnancy_Physiology_Defaults!A:A,0))</x:f>
        <x:v>0.8</x:v>
      </x:c>
      <x:c r="T33" s="21">
        <x:f>F33*((H33*O33)+(I33*P33)+MAX(0,1-H33-I33))</x:f>
        <x:v>13.71</x:v>
      </x:c>
      <x:c r="U33" s="21">
        <x:f>G33*Q33*(1+(J33*(1-R33)))</x:f>
        <x:v>228.96</x:v>
      </x:c>
      <x:c r="V33" s="21">
        <x:f>IFERROR((D33*E33)/T33,"")</x:f>
        <x:v>1.823486506199854</x:v>
      </x:c>
      <x:c r="W33" s="21">
        <x:f>IFERROR(V33/24,"")</x:f>
        <x:v>0.07597860442499392</x:v>
      </x:c>
      <x:c r="X33" s="21">
        <x:f>IFERROR(W33*K33,"")</x:f>
        <x:v>0.013676148796498906</x:v>
      </x:c>
      <x:c r="Y33" s="21">
        <x:f>IFERROR(X33*L33*S33*M33,"")</x:f>
        <x:v>0.009628008752735232</x:v>
      </x:c>
      <x:c r="Z33" s="21">
        <x:f>IFERROR(Y33*N33,"")</x:f>
        <x:v>0.012516411378555803</x:v>
      </x:c>
      <x:c r="AA33" s="21">
        <x:f>Drug_PBPK_Parameters!Y12</x:f>
        <x:v>0.06</x:v>
      </x:c>
      <x:c r="AB33" s="22" t="str">
        <x:f>IF(AA33="","Needs threshold",IF(Z33&gt;=AA33,"Above prototype threshold","Below prototype threshold"))</x:f>
        <x:v>Below prototype threshold</x:v>
      </x:c>
      <x:c r="AC33" s="18" t="str">
        <x:f>Drug_PBPK_Parameters!C12</x:f>
        <x:v>No dedicated pregnancy PBPK identified in quick screen</x:v>
      </x:c>
      <x:c r="AD33" s="18" t="str">
        <x:f>Drug_PBPK_Parameters!Z12</x:f>
        <x:v>Positive</x:v>
      </x:c>
      <x:c r="AE33" s="18">
        <x:f>Drug_PBPK_Parameters!F12</x:f>
        <x:v>0</x:v>
      </x:c>
    </x:row>
    <x:row r="34">
      <x:c r="A34" s="17" t="str">
        <x:f>Drug_PBPK_Parameters!A12</x:f>
        <x:v>DRUG-011</x:v>
      </x:c>
      <x:c r="B34" s="17" t="str">
        <x:f>Drug_PBPK_Parameters!B12</x:f>
        <x:v>Olaparib</x:v>
      </x:c>
      <x:c r="C34" s="9" t="inlineStr">
        <x:is>
          <x:t xml:space="preserve">T3</x:t>
        </x:is>
      </x:c>
      <x:c r="D34" s="15">
        <x:f>Drug_PBPK_Parameters!H12</x:f>
        <x:v>50</x:v>
      </x:c>
      <x:c r="E34" s="20">
        <x:f>Drug_PBPK_Parameters!J12</x:f>
        <x:v>0.5</x:v>
      </x:c>
      <x:c r="F34" s="20">
        <x:f>Drug_PBPK_Parameters!L12</x:f>
        <x:v>12</x:v>
      </x:c>
      <x:c r="G34" s="20">
        <x:f>Drug_PBPK_Parameters!M12</x:f>
        <x:v>160</x:v>
      </x:c>
      <x:c r="H34" s="20">
        <x:f>Drug_PBPK_Parameters!S12</x:f>
        <x:v>0.15</x:v>
      </x:c>
      <x:c r="I34" s="20">
        <x:f>Drug_PBPK_Parameters!T12</x:f>
        <x:v>0.75</x:v>
      </x:c>
      <x:c r="J34" s="20">
        <x:f>Drug_PBPK_Parameters!U12</x:f>
        <x:v>0.3</x:v>
      </x:c>
      <x:c r="K34" s="20">
        <x:f>Drug_PBPK_Parameters!N12</x:f>
        <x:v>0.18</x:v>
      </x:c>
      <x:c r="L34" s="20">
        <x:f>Drug_PBPK_Parameters!V12</x:f>
        <x:v>0.8</x:v>
      </x:c>
      <x:c r="M34" s="20">
        <x:f>Drug_PBPK_Parameters!W12</x:f>
        <x:v>1.1</x:v>
      </x:c>
      <x:c r="N34" s="20">
        <x:f>Drug_PBPK_Parameters!X12</x:f>
        <x:v>1.3</x:v>
      </x:c>
      <x:c r="O34" s="20">
        <x:f>INDEX(Pregnancy_Physiology_Defaults!G:G,MATCH(C34,Pregnancy_Physiology_Defaults!A:A,0))</x:f>
        <x:v>1.5</x:v>
      </x:c>
      <x:c r="P34" s="20">
        <x:f>INDEX(Pregnancy_Physiology_Defaults!H:H,MATCH(C34,Pregnancy_Physiology_Defaults!A:A,0))</x:f>
        <x:v>1.15</x:v>
      </x:c>
      <x:c r="Q34" s="20">
        <x:f>INDEX(Pregnancy_Physiology_Defaults!E:E,MATCH(C34,Pregnancy_Physiology_Defaults!A:A,0))</x:f>
        <x:v>1.5</x:v>
      </x:c>
      <x:c r="R34" s="20">
        <x:f>INDEX(Pregnancy_Physiology_Defaults!F:F,MATCH(C34,Pregnancy_Physiology_Defaults!A:A,0))</x:f>
        <x:v>0.7</x:v>
      </x:c>
      <x:c r="S34" s="20">
        <x:f>INDEX(Pregnancy_Physiology_Defaults!I:I,MATCH(C34,Pregnancy_Physiology_Defaults!A:A,0))</x:f>
        <x:v>1</x:v>
      </x:c>
      <x:c r="T34" s="21">
        <x:f>F34*((H34*O34)+(I34*P34)+MAX(0,1-H34-I34))</x:f>
        <x:v>14.25</x:v>
      </x:c>
      <x:c r="U34" s="21">
        <x:f>G34*Q34*(1+(J34*(1-R34)))</x:f>
        <x:v>261.6</x:v>
      </x:c>
      <x:c r="V34" s="21">
        <x:f>IFERROR((D34*E34)/T34,"")</x:f>
        <x:v>1.7543859649122806</x:v>
      </x:c>
      <x:c r="W34" s="21">
        <x:f>IFERROR(V34/24,"")</x:f>
        <x:v>0.07309941520467836</x:v>
      </x:c>
      <x:c r="X34" s="21">
        <x:f>IFERROR(W34*K34,"")</x:f>
        <x:v>0.013157894736842105</x:v>
      </x:c>
      <x:c r="Y34" s="21">
        <x:f>IFERROR(X34*L34*S34*M34,"")</x:f>
        <x:v>0.011578947368421053</x:v>
      </x:c>
      <x:c r="Z34" s="21">
        <x:f>IFERROR(Y34*N34,"")</x:f>
        <x:v>0.01505263157894737</x:v>
      </x:c>
      <x:c r="AA34" s="21">
        <x:f>Drug_PBPK_Parameters!Y12</x:f>
        <x:v>0.06</x:v>
      </x:c>
      <x:c r="AB34" s="22" t="str">
        <x:f>IF(AA34="","Needs threshold",IF(Z34&gt;=AA34,"Above prototype threshold","Below prototype threshold"))</x:f>
        <x:v>Below prototype threshold</x:v>
      </x:c>
      <x:c r="AC34" s="18" t="str">
        <x:f>Drug_PBPK_Parameters!C12</x:f>
        <x:v>No dedicated pregnancy PBPK identified in quick screen</x:v>
      </x:c>
      <x:c r="AD34" s="18" t="str">
        <x:f>Drug_PBPK_Parameters!Z12</x:f>
        <x:v>Positive</x:v>
      </x:c>
      <x:c r="AE34" s="18">
        <x:f>Drug_PBPK_Parameters!F12</x:f>
        <x:v>0</x:v>
      </x:c>
    </x:row>
    <x:row r="35">
      <x:c r="A35" s="17" t="str">
        <x:f>Drug_PBPK_Parameters!A13</x:f>
        <x:v>DRUG-012</x:v>
      </x:c>
      <x:c r="B35" s="17" t="str">
        <x:f>Drug_PBPK_Parameters!B13</x:f>
        <x:v>Osthole</x:v>
      </x:c>
      <x:c r="C35" s="9" t="inlineStr">
        <x:is>
          <x:t xml:space="preserve">T1</x:t>
        </x:is>
      </x:c>
      <x:c r="D35" s="15">
        <x:f>Drug_PBPK_Parameters!H13</x:f>
        <x:v>50</x:v>
      </x:c>
      <x:c r="E35" s="20">
        <x:f>Drug_PBPK_Parameters!J13</x:f>
        <x:v>0.35</x:v>
      </x:c>
      <x:c r="F35" s="20">
        <x:f>Drug_PBPK_Parameters!L13</x:f>
        <x:v>10</x:v>
      </x:c>
      <x:c r="G35" s="20">
        <x:f>Drug_PBPK_Parameters!M13</x:f>
        <x:v>120</x:v>
      </x:c>
      <x:c r="H35" s="20">
        <x:f>Drug_PBPK_Parameters!S13</x:f>
        <x:v>0.1</x:v>
      </x:c>
      <x:c r="I35" s="20">
        <x:f>Drug_PBPK_Parameters!T13</x:f>
        <x:v>0.7</x:v>
      </x:c>
      <x:c r="J35" s="20">
        <x:f>Drug_PBPK_Parameters!U13</x:f>
        <x:v>0.4</x:v>
      </x:c>
      <x:c r="K35" s="20">
        <x:f>Drug_PBPK_Parameters!N13</x:f>
        <x:v>0.08</x:v>
      </x:c>
      <x:c r="L35" s="20">
        <x:f>Drug_PBPK_Parameters!V13</x:f>
        <x:v>0.7</x:v>
      </x:c>
      <x:c r="M35" s="20">
        <x:f>Drug_PBPK_Parameters!W13</x:f>
        <x:v>1</x:v>
      </x:c>
      <x:c r="N35" s="20">
        <x:f>Drug_PBPK_Parameters!X13</x:f>
        <x:v>1.4</x:v>
      </x:c>
      <x:c r="O35" s="20">
        <x:f>INDEX(Pregnancy_Physiology_Defaults!G:G,MATCH(C35,Pregnancy_Physiology_Defaults!A:A,0))</x:f>
        <x:v>1.3</x:v>
      </x:c>
      <x:c r="P35" s="20">
        <x:f>INDEX(Pregnancy_Physiology_Defaults!H:H,MATCH(C35,Pregnancy_Physiology_Defaults!A:A,0))</x:f>
        <x:v>1.05</x:v>
      </x:c>
      <x:c r="Q35" s="20">
        <x:f>INDEX(Pregnancy_Physiology_Defaults!E:E,MATCH(C35,Pregnancy_Physiology_Defaults!A:A,0))</x:f>
        <x:v>1.15</x:v>
      </x:c>
      <x:c r="R35" s="20">
        <x:f>INDEX(Pregnancy_Physiology_Defaults!F:F,MATCH(C35,Pregnancy_Physiology_Defaults!A:A,0))</x:f>
        <x:v>0.9</x:v>
      </x:c>
      <x:c r="S35" s="20">
        <x:f>INDEX(Pregnancy_Physiology_Defaults!I:I,MATCH(C35,Pregnancy_Physiology_Defaults!A:A,0))</x:f>
        <x:v>0.5</x:v>
      </x:c>
      <x:c r="T35" s="21">
        <x:f>F35*((H35*O35)+(I35*P35)+MAX(0,1-H35-I35))</x:f>
        <x:v>10.649999999999999</x:v>
      </x:c>
      <x:c r="U35" s="21">
        <x:f>G35*Q35*(1+(J35*(1-R35)))</x:f>
        <x:v>143.52</x:v>
      </x:c>
      <x:c r="V35" s="21">
        <x:f>IFERROR((D35*E35)/T35,"")</x:f>
        <x:v>1.643192488262911</x:v>
      </x:c>
      <x:c r="W35" s="21">
        <x:f>IFERROR(V35/24,"")</x:f>
        <x:v>0.06846635367762129</x:v>
      </x:c>
      <x:c r="X35" s="21">
        <x:f>IFERROR(W35*K35,"")</x:f>
        <x:v>0.005477308294209703</x:v>
      </x:c>
      <x:c r="Y35" s="21">
        <x:f>IFERROR(X35*L35*S35*M35,"")</x:f>
        <x:v>0.001917057902973396</x:v>
      </x:c>
      <x:c r="Z35" s="21">
        <x:f>IFERROR(Y35*N35,"")</x:f>
        <x:v>0.002683881064162754</x:v>
      </x:c>
      <x:c r="AA35" s="21">
        <x:f>Drug_PBPK_Parameters!Y13</x:f>
        <x:v>0.1</x:v>
      </x:c>
      <x:c r="AB35" s="22" t="str">
        <x:f>IF(AA35="","Needs threshold",IF(Z35&gt;=AA35,"Above prototype threshold","Below prototype threshold"))</x:f>
        <x:v>Below prototype threshold</x:v>
      </x:c>
      <x:c r="AC35" s="18" t="str">
        <x:f>Drug_PBPK_Parameters!C13</x:f>
        <x:v>No dedicated pregnancy PBPK identified in quick screen</x:v>
      </x:c>
      <x:c r="AD35" s="18" t="str">
        <x:f>Drug_PBPK_Parameters!Z13</x:f>
        <x:v>No data found</x:v>
      </x:c>
      <x:c r="AE35" s="18">
        <x:f>Drug_PBPK_Parameters!F13</x:f>
        <x:v>0</x:v>
      </x:c>
    </x:row>
    <x:row r="36">
      <x:c r="A36" s="17" t="str">
        <x:f>Drug_PBPK_Parameters!A13</x:f>
        <x:v>DRUG-012</x:v>
      </x:c>
      <x:c r="B36" s="17" t="str">
        <x:f>Drug_PBPK_Parameters!B13</x:f>
        <x:v>Osthole</x:v>
      </x:c>
      <x:c r="C36" s="9" t="inlineStr">
        <x:is>
          <x:t xml:space="preserve">T2</x:t>
        </x:is>
      </x:c>
      <x:c r="D36" s="15">
        <x:f>Drug_PBPK_Parameters!H13</x:f>
        <x:v>50</x:v>
      </x:c>
      <x:c r="E36" s="20">
        <x:f>Drug_PBPK_Parameters!J13</x:f>
        <x:v>0.35</x:v>
      </x:c>
      <x:c r="F36" s="20">
        <x:f>Drug_PBPK_Parameters!L13</x:f>
        <x:v>10</x:v>
      </x:c>
      <x:c r="G36" s="20">
        <x:f>Drug_PBPK_Parameters!M13</x:f>
        <x:v>120</x:v>
      </x:c>
      <x:c r="H36" s="20">
        <x:f>Drug_PBPK_Parameters!S13</x:f>
        <x:v>0.1</x:v>
      </x:c>
      <x:c r="I36" s="20">
        <x:f>Drug_PBPK_Parameters!T13</x:f>
        <x:v>0.7</x:v>
      </x:c>
      <x:c r="J36" s="20">
        <x:f>Drug_PBPK_Parameters!U13</x:f>
        <x:v>0.4</x:v>
      </x:c>
      <x:c r="K36" s="20">
        <x:f>Drug_PBPK_Parameters!N13</x:f>
        <x:v>0.08</x:v>
      </x:c>
      <x:c r="L36" s="20">
        <x:f>Drug_PBPK_Parameters!V13</x:f>
        <x:v>0.7</x:v>
      </x:c>
      <x:c r="M36" s="20">
        <x:f>Drug_PBPK_Parameters!W13</x:f>
        <x:v>1</x:v>
      </x:c>
      <x:c r="N36" s="20">
        <x:f>Drug_PBPK_Parameters!X13</x:f>
        <x:v>1.4</x:v>
      </x:c>
      <x:c r="O36" s="20">
        <x:f>INDEX(Pregnancy_Physiology_Defaults!G:G,MATCH(C36,Pregnancy_Physiology_Defaults!A:A,0))</x:f>
        <x:v>1.45</x:v>
      </x:c>
      <x:c r="P36" s="20">
        <x:f>INDEX(Pregnancy_Physiology_Defaults!H:H,MATCH(C36,Pregnancy_Physiology_Defaults!A:A,0))</x:f>
        <x:v>1.1</x:v>
      </x:c>
      <x:c r="Q36" s="20">
        <x:f>INDEX(Pregnancy_Physiology_Defaults!E:E,MATCH(C36,Pregnancy_Physiology_Defaults!A:A,0))</x:f>
        <x:v>1.35</x:v>
      </x:c>
      <x:c r="R36" s="20">
        <x:f>INDEX(Pregnancy_Physiology_Defaults!F:F,MATCH(C36,Pregnancy_Physiology_Defaults!A:A,0))</x:f>
        <x:v>0.8</x:v>
      </x:c>
      <x:c r="S36" s="20">
        <x:f>INDEX(Pregnancy_Physiology_Defaults!I:I,MATCH(C36,Pregnancy_Physiology_Defaults!A:A,0))</x:f>
        <x:v>0.8</x:v>
      </x:c>
      <x:c r="T36" s="21">
        <x:f>F36*((H36*O36)+(I36*P36)+MAX(0,1-H36-I36))</x:f>
        <x:v>11.150000000000002</x:v>
      </x:c>
      <x:c r="U36" s="21">
        <x:f>G36*Q36*(1+(J36*(1-R36)))</x:f>
        <x:v>174.96</x:v>
      </x:c>
      <x:c r="V36" s="21">
        <x:f>IFERROR((D36*E36)/T36,"")</x:f>
        <x:v>1.5695067264573987</x:v>
      </x:c>
      <x:c r="W36" s="21">
        <x:f>IFERROR(V36/24,"")</x:f>
        <x:v>0.06539611360239161</x:v>
      </x:c>
      <x:c r="X36" s="21">
        <x:f>IFERROR(W36*K36,"")</x:f>
        <x:v>0.0052316890881913295</x:v>
      </x:c>
      <x:c r="Y36" s="21">
        <x:f>IFERROR(X36*L36*S36*M36,"")</x:f>
        <x:v>0.0029297458893871448</x:v>
      </x:c>
      <x:c r="Z36" s="21">
        <x:f>IFERROR(Y36*N36,"")</x:f>
        <x:v>0.004101644245142002</x:v>
      </x:c>
      <x:c r="AA36" s="21">
        <x:f>Drug_PBPK_Parameters!Y13</x:f>
        <x:v>0.1</x:v>
      </x:c>
      <x:c r="AB36" s="22" t="str">
        <x:f>IF(AA36="","Needs threshold",IF(Z36&gt;=AA36,"Above prototype threshold","Below prototype threshold"))</x:f>
        <x:v>Below prototype threshold</x:v>
      </x:c>
      <x:c r="AC36" s="18" t="str">
        <x:f>Drug_PBPK_Parameters!C13</x:f>
        <x:v>No dedicated pregnancy PBPK identified in quick screen</x:v>
      </x:c>
      <x:c r="AD36" s="18" t="str">
        <x:f>Drug_PBPK_Parameters!Z13</x:f>
        <x:v>No data found</x:v>
      </x:c>
      <x:c r="AE36" s="18">
        <x:f>Drug_PBPK_Parameters!F13</x:f>
        <x:v>0</x:v>
      </x:c>
    </x:row>
    <x:row r="37">
      <x:c r="A37" s="17" t="str">
        <x:f>Drug_PBPK_Parameters!A13</x:f>
        <x:v>DRUG-012</x:v>
      </x:c>
      <x:c r="B37" s="17" t="str">
        <x:f>Drug_PBPK_Parameters!B13</x:f>
        <x:v>Osthole</x:v>
      </x:c>
      <x:c r="C37" s="9" t="inlineStr">
        <x:is>
          <x:t xml:space="preserve">T3</x:t>
        </x:is>
      </x:c>
      <x:c r="D37" s="15">
        <x:f>Drug_PBPK_Parameters!H13</x:f>
        <x:v>50</x:v>
      </x:c>
      <x:c r="E37" s="20">
        <x:f>Drug_PBPK_Parameters!J13</x:f>
        <x:v>0.35</x:v>
      </x:c>
      <x:c r="F37" s="20">
        <x:f>Drug_PBPK_Parameters!L13</x:f>
        <x:v>10</x:v>
      </x:c>
      <x:c r="G37" s="20">
        <x:f>Drug_PBPK_Parameters!M13</x:f>
        <x:v>120</x:v>
      </x:c>
      <x:c r="H37" s="20">
        <x:f>Drug_PBPK_Parameters!S13</x:f>
        <x:v>0.1</x:v>
      </x:c>
      <x:c r="I37" s="20">
        <x:f>Drug_PBPK_Parameters!T13</x:f>
        <x:v>0.7</x:v>
      </x:c>
      <x:c r="J37" s="20">
        <x:f>Drug_PBPK_Parameters!U13</x:f>
        <x:v>0.4</x:v>
      </x:c>
      <x:c r="K37" s="20">
        <x:f>Drug_PBPK_Parameters!N13</x:f>
        <x:v>0.08</x:v>
      </x:c>
      <x:c r="L37" s="20">
        <x:f>Drug_PBPK_Parameters!V13</x:f>
        <x:v>0.7</x:v>
      </x:c>
      <x:c r="M37" s="20">
        <x:f>Drug_PBPK_Parameters!W13</x:f>
        <x:v>1</x:v>
      </x:c>
      <x:c r="N37" s="20">
        <x:f>Drug_PBPK_Parameters!X13</x:f>
        <x:v>1.4</x:v>
      </x:c>
      <x:c r="O37" s="20">
        <x:f>INDEX(Pregnancy_Physiology_Defaults!G:G,MATCH(C37,Pregnancy_Physiology_Defaults!A:A,0))</x:f>
        <x:v>1.5</x:v>
      </x:c>
      <x:c r="P37" s="20">
        <x:f>INDEX(Pregnancy_Physiology_Defaults!H:H,MATCH(C37,Pregnancy_Physiology_Defaults!A:A,0))</x:f>
        <x:v>1.15</x:v>
      </x:c>
      <x:c r="Q37" s="20">
        <x:f>INDEX(Pregnancy_Physiology_Defaults!E:E,MATCH(C37,Pregnancy_Physiology_Defaults!A:A,0))</x:f>
        <x:v>1.5</x:v>
      </x:c>
      <x:c r="R37" s="20">
        <x:f>INDEX(Pregnancy_Physiology_Defaults!F:F,MATCH(C37,Pregnancy_Physiology_Defaults!A:A,0))</x:f>
        <x:v>0.7</x:v>
      </x:c>
      <x:c r="S37" s="20">
        <x:f>INDEX(Pregnancy_Physiology_Defaults!I:I,MATCH(C37,Pregnancy_Physiology_Defaults!A:A,0))</x:f>
        <x:v>1</x:v>
      </x:c>
      <x:c r="T37" s="21">
        <x:f>F37*((H37*O37)+(I37*P37)+MAX(0,1-H37-I37))</x:f>
        <x:v>11.55</x:v>
      </x:c>
      <x:c r="U37" s="21">
        <x:f>G37*Q37*(1+(J37*(1-R37)))</x:f>
        <x:v>201.60000000000002</x:v>
      </x:c>
      <x:c r="V37" s="21">
        <x:f>IFERROR((D37*E37)/T37,"")</x:f>
        <x:v>1.5151515151515151</x:v>
      </x:c>
      <x:c r="W37" s="21">
        <x:f>IFERROR(V37/24,"")</x:f>
        <x:v>0.06313131313131314</x:v>
      </x:c>
      <x:c r="X37" s="21">
        <x:f>IFERROR(W37*K37,"")</x:f>
        <x:v>0.005050505050505051</x:v>
      </x:c>
      <x:c r="Y37" s="21">
        <x:f>IFERROR(X37*L37*S37*M37,"")</x:f>
        <x:v>0.0035353535353535356</x:v>
      </x:c>
      <x:c r="Z37" s="21">
        <x:f>IFERROR(Y37*N37,"")</x:f>
        <x:v>0.004949494949494949</x:v>
      </x:c>
      <x:c r="AA37" s="21">
        <x:f>Drug_PBPK_Parameters!Y13</x:f>
        <x:v>0.1</x:v>
      </x:c>
      <x:c r="AB37" s="22" t="str">
        <x:f>IF(AA37="","Needs threshold",IF(Z37&gt;=AA37,"Above prototype threshold","Below prototype threshold"))</x:f>
        <x:v>Below prototype threshold</x:v>
      </x:c>
      <x:c r="AC37" s="18" t="str">
        <x:f>Drug_PBPK_Parameters!C13</x:f>
        <x:v>No dedicated pregnancy PBPK identified in quick screen</x:v>
      </x:c>
      <x:c r="AD37" s="18" t="str">
        <x:f>Drug_PBPK_Parameters!Z13</x:f>
        <x:v>No data found</x:v>
      </x:c>
      <x:c r="AE37" s="18">
        <x:f>Drug_PBPK_Parameters!F13</x:f>
        <x:v>0</x:v>
      </x:c>
    </x:row>
    <x:row r="38">
      <x:c r="A38" s="17" t="str">
        <x:f>Drug_PBPK_Parameters!A14</x:f>
        <x:v>DRUG-013</x:v>
      </x:c>
      <x:c r="B38" s="17" t="str">
        <x:f>Drug_PBPK_Parameters!B14</x:f>
        <x:v>Pravastatin</x:v>
      </x:c>
      <x:c r="C38" s="9" t="inlineStr">
        <x:is>
          <x:t xml:space="preserve">T1</x:t>
        </x:is>
      </x:c>
      <x:c r="D38" s="15">
        <x:f>Drug_PBPK_Parameters!H14</x:f>
        <x:v>20</x:v>
      </x:c>
      <x:c r="E38" s="20">
        <x:f>Drug_PBPK_Parameters!J14</x:f>
        <x:v>0.18</x:v>
      </x:c>
      <x:c r="F38" s="20">
        <x:f>Drug_PBPK_Parameters!L14</x:f>
        <x:v>24</x:v>
      </x:c>
      <x:c r="G38" s="20">
        <x:f>Drug_PBPK_Parameters!M14</x:f>
        <x:v>34</x:v>
      </x:c>
      <x:c r="H38" s="20">
        <x:f>Drug_PBPK_Parameters!S14</x:f>
        <x:v>0.5</x:v>
      </x:c>
      <x:c r="I38" s="20">
        <x:f>Drug_PBPK_Parameters!T14</x:f>
        <x:v>0.3</x:v>
      </x:c>
      <x:c r="J38" s="20">
        <x:f>Drug_PBPK_Parameters!U14</x:f>
        <x:v>0.2</x:v>
      </x:c>
      <x:c r="K38" s="20">
        <x:f>Drug_PBPK_Parameters!N14</x:f>
        <x:v>0.455</x:v>
      </x:c>
      <x:c r="L38" s="20">
        <x:f>Drug_PBPK_Parameters!V14</x:f>
        <x:v>0.75</x:v>
      </x:c>
      <x:c r="M38" s="20">
        <x:f>Drug_PBPK_Parameters!W14</x:f>
        <x:v>1</x:v>
      </x:c>
      <x:c r="N38" s="20">
        <x:f>Drug_PBPK_Parameters!X14</x:f>
        <x:v>1</x:v>
      </x:c>
      <x:c r="O38" s="20">
        <x:f>INDEX(Pregnancy_Physiology_Defaults!G:G,MATCH(C38,Pregnancy_Physiology_Defaults!A:A,0))</x:f>
        <x:v>1.3</x:v>
      </x:c>
      <x:c r="P38" s="20">
        <x:f>INDEX(Pregnancy_Physiology_Defaults!H:H,MATCH(C38,Pregnancy_Physiology_Defaults!A:A,0))</x:f>
        <x:v>1.05</x:v>
      </x:c>
      <x:c r="Q38" s="20">
        <x:f>INDEX(Pregnancy_Physiology_Defaults!E:E,MATCH(C38,Pregnancy_Physiology_Defaults!A:A,0))</x:f>
        <x:v>1.15</x:v>
      </x:c>
      <x:c r="R38" s="20">
        <x:f>INDEX(Pregnancy_Physiology_Defaults!F:F,MATCH(C38,Pregnancy_Physiology_Defaults!A:A,0))</x:f>
        <x:v>0.9</x:v>
      </x:c>
      <x:c r="S38" s="20">
        <x:f>INDEX(Pregnancy_Physiology_Defaults!I:I,MATCH(C38,Pregnancy_Physiology_Defaults!A:A,0))</x:f>
        <x:v>0.5</x:v>
      </x:c>
      <x:c r="T38" s="21">
        <x:f>F38*((H38*O38)+(I38*P38)+MAX(0,1-H38-I38))</x:f>
        <x:v>27.96</x:v>
      </x:c>
      <x:c r="U38" s="21">
        <x:f>G38*Q38*(1+(J38*(1-R38)))</x:f>
        <x:v>39.882</x:v>
      </x:c>
      <x:c r="V38" s="21">
        <x:f>IFERROR((D38*E38)/T38,"")</x:f>
        <x:v>0.12875536480686695</x:v>
      </x:c>
      <x:c r="W38" s="21">
        <x:f>IFERROR(V38/24,"")</x:f>
        <x:v>0.00536480686695279</x:v>
      </x:c>
      <x:c r="X38" s="21">
        <x:f>IFERROR(W38*K38,"")</x:f>
        <x:v>0.0024409871244635193</x:v>
      </x:c>
      <x:c r="Y38" s="21">
        <x:f>IFERROR(X38*L38*S38*M38,"")</x:f>
        <x:v>0.0009153701716738197</x:v>
      </x:c>
      <x:c r="Z38" s="21">
        <x:f>IFERROR(Y38*N38,"")</x:f>
        <x:v>0.0009153701716738197</x:v>
      </x:c>
      <x:c r="AA38" s="21">
        <x:f>Drug_PBPK_Parameters!Y14</x:f>
        <x:v>0.05</x:v>
      </x:c>
      <x:c r="AB38" s="22" t="str">
        <x:f>IF(AA38="","Needs threshold",IF(Z38&gt;=AA38,"Above prototype threshold","Below prototype threshold"))</x:f>
        <x:v>Below prototype threshold</x:v>
      </x:c>
      <x:c r="AC38" s="18" t="str">
        <x:f>Drug_PBPK_Parameters!C14</x:f>
        <x:v>Pregnancy PBPK available</x:v>
      </x:c>
      <x:c r="AD38" s="18" t="str">
        <x:f>Drug_PBPK_Parameters!Z14</x:f>
        <x:v>Negative/No clear signal</x:v>
      </x:c>
      <x:c r="AE38" s="18" t="str">
        <x:f>Drug_PBPK_Parameters!F14</x:f>
        <x:v>https://www.frontiersin.org/journals/pharmacology/articles/10.3389/fphar.2023.1241815/full</x:v>
      </x:c>
    </x:row>
    <x:row r="39">
      <x:c r="A39" s="17" t="str">
        <x:f>Drug_PBPK_Parameters!A14</x:f>
        <x:v>DRUG-013</x:v>
      </x:c>
      <x:c r="B39" s="17" t="str">
        <x:f>Drug_PBPK_Parameters!B14</x:f>
        <x:v>Pravastatin</x:v>
      </x:c>
      <x:c r="C39" s="9" t="inlineStr">
        <x:is>
          <x:t xml:space="preserve">T2</x:t>
        </x:is>
      </x:c>
      <x:c r="D39" s="15">
        <x:f>Drug_PBPK_Parameters!H14</x:f>
        <x:v>20</x:v>
      </x:c>
      <x:c r="E39" s="20">
        <x:f>Drug_PBPK_Parameters!J14</x:f>
        <x:v>0.18</x:v>
      </x:c>
      <x:c r="F39" s="20">
        <x:f>Drug_PBPK_Parameters!L14</x:f>
        <x:v>24</x:v>
      </x:c>
      <x:c r="G39" s="20">
        <x:f>Drug_PBPK_Parameters!M14</x:f>
        <x:v>34</x:v>
      </x:c>
      <x:c r="H39" s="20">
        <x:f>Drug_PBPK_Parameters!S14</x:f>
        <x:v>0.5</x:v>
      </x:c>
      <x:c r="I39" s="20">
        <x:f>Drug_PBPK_Parameters!T14</x:f>
        <x:v>0.3</x:v>
      </x:c>
      <x:c r="J39" s="20">
        <x:f>Drug_PBPK_Parameters!U14</x:f>
        <x:v>0.2</x:v>
      </x:c>
      <x:c r="K39" s="20">
        <x:f>Drug_PBPK_Parameters!N14</x:f>
        <x:v>0.455</x:v>
      </x:c>
      <x:c r="L39" s="20">
        <x:f>Drug_PBPK_Parameters!V14</x:f>
        <x:v>0.75</x:v>
      </x:c>
      <x:c r="M39" s="20">
        <x:f>Drug_PBPK_Parameters!W14</x:f>
        <x:v>1</x:v>
      </x:c>
      <x:c r="N39" s="20">
        <x:f>Drug_PBPK_Parameters!X14</x:f>
        <x:v>1</x:v>
      </x:c>
      <x:c r="O39" s="20">
        <x:f>INDEX(Pregnancy_Physiology_Defaults!G:G,MATCH(C39,Pregnancy_Physiology_Defaults!A:A,0))</x:f>
        <x:v>1.45</x:v>
      </x:c>
      <x:c r="P39" s="20">
        <x:f>INDEX(Pregnancy_Physiology_Defaults!H:H,MATCH(C39,Pregnancy_Physiology_Defaults!A:A,0))</x:f>
        <x:v>1.1</x:v>
      </x:c>
      <x:c r="Q39" s="20">
        <x:f>INDEX(Pregnancy_Physiology_Defaults!E:E,MATCH(C39,Pregnancy_Physiology_Defaults!A:A,0))</x:f>
        <x:v>1.35</x:v>
      </x:c>
      <x:c r="R39" s="20">
        <x:f>INDEX(Pregnancy_Physiology_Defaults!F:F,MATCH(C39,Pregnancy_Physiology_Defaults!A:A,0))</x:f>
        <x:v>0.8</x:v>
      </x:c>
      <x:c r="S39" s="20">
        <x:f>INDEX(Pregnancy_Physiology_Defaults!I:I,MATCH(C39,Pregnancy_Physiology_Defaults!A:A,0))</x:f>
        <x:v>0.8</x:v>
      </x:c>
      <x:c r="T39" s="21">
        <x:f>F39*((H39*O39)+(I39*P39)+MAX(0,1-H39-I39))</x:f>
        <x:v>30.119999999999997</x:v>
      </x:c>
      <x:c r="U39" s="21">
        <x:f>G39*Q39*(1+(J39*(1-R39)))</x:f>
        <x:v>47.736000000000004</x:v>
      </x:c>
      <x:c r="V39" s="21">
        <x:f>IFERROR((D39*E39)/T39,"")</x:f>
        <x:v>0.11952191235059761</x:v>
      </x:c>
      <x:c r="W39" s="21">
        <x:f>IFERROR(V39/24,"")</x:f>
        <x:v>0.0049800796812749</x:v>
      </x:c>
      <x:c r="X39" s="21">
        <x:f>IFERROR(W39*K39,"")</x:f>
        <x:v>0.0022659362549800797</x:v>
      </x:c>
      <x:c r="Y39" s="21">
        <x:f>IFERROR(X39*L39*S39*M39,"")</x:f>
        <x:v>0.0013595617529880478</x:v>
      </x:c>
      <x:c r="Z39" s="21">
        <x:f>IFERROR(Y39*N39,"")</x:f>
        <x:v>0.0013595617529880478</x:v>
      </x:c>
      <x:c r="AA39" s="21">
        <x:f>Drug_PBPK_Parameters!Y14</x:f>
        <x:v>0.05</x:v>
      </x:c>
      <x:c r="AB39" s="22" t="str">
        <x:f>IF(AA39="","Needs threshold",IF(Z39&gt;=AA39,"Above prototype threshold","Below prototype threshold"))</x:f>
        <x:v>Below prototype threshold</x:v>
      </x:c>
      <x:c r="AC39" s="18" t="str">
        <x:f>Drug_PBPK_Parameters!C14</x:f>
        <x:v>Pregnancy PBPK available</x:v>
      </x:c>
      <x:c r="AD39" s="18" t="str">
        <x:f>Drug_PBPK_Parameters!Z14</x:f>
        <x:v>Negative/No clear signal</x:v>
      </x:c>
      <x:c r="AE39" s="18" t="str">
        <x:f>Drug_PBPK_Parameters!F14</x:f>
        <x:v>https://www.frontiersin.org/journals/pharmacology/articles/10.3389/fphar.2023.1241815/full</x:v>
      </x:c>
    </x:row>
    <x:row r="40">
      <x:c r="A40" s="17" t="str">
        <x:f>Drug_PBPK_Parameters!A14</x:f>
        <x:v>DRUG-013</x:v>
      </x:c>
      <x:c r="B40" s="17" t="str">
        <x:f>Drug_PBPK_Parameters!B14</x:f>
        <x:v>Pravastatin</x:v>
      </x:c>
      <x:c r="C40" s="9" t="inlineStr">
        <x:is>
          <x:t xml:space="preserve">T3</x:t>
        </x:is>
      </x:c>
      <x:c r="D40" s="15">
        <x:f>Drug_PBPK_Parameters!H14</x:f>
        <x:v>20</x:v>
      </x:c>
      <x:c r="E40" s="20">
        <x:f>Drug_PBPK_Parameters!J14</x:f>
        <x:v>0.18</x:v>
      </x:c>
      <x:c r="F40" s="20">
        <x:f>Drug_PBPK_Parameters!L14</x:f>
        <x:v>24</x:v>
      </x:c>
      <x:c r="G40" s="20">
        <x:f>Drug_PBPK_Parameters!M14</x:f>
        <x:v>34</x:v>
      </x:c>
      <x:c r="H40" s="20">
        <x:f>Drug_PBPK_Parameters!S14</x:f>
        <x:v>0.5</x:v>
      </x:c>
      <x:c r="I40" s="20">
        <x:f>Drug_PBPK_Parameters!T14</x:f>
        <x:v>0.3</x:v>
      </x:c>
      <x:c r="J40" s="20">
        <x:f>Drug_PBPK_Parameters!U14</x:f>
        <x:v>0.2</x:v>
      </x:c>
      <x:c r="K40" s="20">
        <x:f>Drug_PBPK_Parameters!N14</x:f>
        <x:v>0.455</x:v>
      </x:c>
      <x:c r="L40" s="20">
        <x:f>Drug_PBPK_Parameters!V14</x:f>
        <x:v>0.75</x:v>
      </x:c>
      <x:c r="M40" s="20">
        <x:f>Drug_PBPK_Parameters!W14</x:f>
        <x:v>1</x:v>
      </x:c>
      <x:c r="N40" s="20">
        <x:f>Drug_PBPK_Parameters!X14</x:f>
        <x:v>1</x:v>
      </x:c>
      <x:c r="O40" s="20">
        <x:f>INDEX(Pregnancy_Physiology_Defaults!G:G,MATCH(C40,Pregnancy_Physiology_Defaults!A:A,0))</x:f>
        <x:v>1.5</x:v>
      </x:c>
      <x:c r="P40" s="20">
        <x:f>INDEX(Pregnancy_Physiology_Defaults!H:H,MATCH(C40,Pregnancy_Physiology_Defaults!A:A,0))</x:f>
        <x:v>1.15</x:v>
      </x:c>
      <x:c r="Q40" s="20">
        <x:f>INDEX(Pregnancy_Physiology_Defaults!E:E,MATCH(C40,Pregnancy_Physiology_Defaults!A:A,0))</x:f>
        <x:v>1.5</x:v>
      </x:c>
      <x:c r="R40" s="20">
        <x:f>INDEX(Pregnancy_Physiology_Defaults!F:F,MATCH(C40,Pregnancy_Physiology_Defaults!A:A,0))</x:f>
        <x:v>0.7</x:v>
      </x:c>
      <x:c r="S40" s="20">
        <x:f>INDEX(Pregnancy_Physiology_Defaults!I:I,MATCH(C40,Pregnancy_Physiology_Defaults!A:A,0))</x:f>
        <x:v>1</x:v>
      </x:c>
      <x:c r="T40" s="21">
        <x:f>F40*((H40*O40)+(I40*P40)+MAX(0,1-H40-I40))</x:f>
        <x:v>31.08</x:v>
      </x:c>
      <x:c r="U40" s="21">
        <x:f>G40*Q40*(1+(J40*(1-R40)))</x:f>
        <x:v>54.06</x:v>
      </x:c>
      <x:c r="V40" s="21">
        <x:f>IFERROR((D40*E40)/T40,"")</x:f>
        <x:v>0.11583011583011582</x:v>
      </x:c>
      <x:c r="W40" s="21">
        <x:f>IFERROR(V40/24,"")</x:f>
        <x:v>0.004826254826254826</x:v>
      </x:c>
      <x:c r="X40" s="21">
        <x:f>IFERROR(W40*K40,"")</x:f>
        <x:v>0.002195945945945946</x:v>
      </x:c>
      <x:c r="Y40" s="21">
        <x:f>IFERROR(X40*L40*S40*M40,"")</x:f>
        <x:v>0.0016469594594594596</x:v>
      </x:c>
      <x:c r="Z40" s="21">
        <x:f>IFERROR(Y40*N40,"")</x:f>
        <x:v>0.0016469594594594596</x:v>
      </x:c>
      <x:c r="AA40" s="21">
        <x:f>Drug_PBPK_Parameters!Y14</x:f>
        <x:v>0.05</x:v>
      </x:c>
      <x:c r="AB40" s="22" t="str">
        <x:f>IF(AA40="","Needs threshold",IF(Z40&gt;=AA40,"Above prototype threshold","Below prototype threshold"))</x:f>
        <x:v>Below prototype threshold</x:v>
      </x:c>
      <x:c r="AC40" s="18" t="str">
        <x:f>Drug_PBPK_Parameters!C14</x:f>
        <x:v>Pregnancy PBPK available</x:v>
      </x:c>
      <x:c r="AD40" s="18" t="str">
        <x:f>Drug_PBPK_Parameters!Z14</x:f>
        <x:v>Negative/No clear signal</x:v>
      </x:c>
      <x:c r="AE40" s="18" t="str">
        <x:f>Drug_PBPK_Parameters!F14</x:f>
        <x:v>https://www.frontiersin.org/journals/pharmacology/articles/10.3389/fphar.2023.1241815/full</x:v>
      </x:c>
    </x:row>
    <x:row r="41">
      <x:c r="A41" s="17" t="str">
        <x:f>Drug_PBPK_Parameters!A15</x:f>
        <x:v>DRUG-014</x:v>
      </x:c>
      <x:c r="B41" s="17" t="str">
        <x:f>Drug_PBPK_Parameters!B15</x:f>
        <x:v>Temozolomide</x:v>
      </x:c>
      <x:c r="C41" s="9" t="inlineStr">
        <x:is>
          <x:t xml:space="preserve">T1</x:t>
        </x:is>
      </x:c>
      <x:c r="D41" s="15">
        <x:f>Drug_PBPK_Parameters!H15</x:f>
        <x:v>50</x:v>
      </x:c>
      <x:c r="E41" s="20">
        <x:f>Drug_PBPK_Parameters!J15</x:f>
        <x:v>1</x:v>
      </x:c>
      <x:c r="F41" s="20">
        <x:f>Drug_PBPK_Parameters!L15</x:f>
        <x:v>8</x:v>
      </x:c>
      <x:c r="G41" s="20">
        <x:f>Drug_PBPK_Parameters!M15</x:f>
        <x:v>30</x:v>
      </x:c>
      <x:c r="H41" s="20">
        <x:f>Drug_PBPK_Parameters!S15</x:f>
        <x:v>0.1</x:v>
      </x:c>
      <x:c r="I41" s="20">
        <x:f>Drug_PBPK_Parameters!T15</x:f>
        <x:v>0.6</x:v>
      </x:c>
      <x:c r="J41" s="20">
        <x:f>Drug_PBPK_Parameters!U15</x:f>
        <x:v>0.15</x:v>
      </x:c>
      <x:c r="K41" s="20">
        <x:f>Drug_PBPK_Parameters!N15</x:f>
        <x:v>0.9</x:v>
      </x:c>
      <x:c r="L41" s="20">
        <x:f>Drug_PBPK_Parameters!V15</x:f>
        <x:v>0.95</x:v>
      </x:c>
      <x:c r="M41" s="20">
        <x:f>Drug_PBPK_Parameters!W15</x:f>
        <x:v>1.1</x:v>
      </x:c>
      <x:c r="N41" s="20">
        <x:f>Drug_PBPK_Parameters!X15</x:f>
        <x:v>1.1</x:v>
      </x:c>
      <x:c r="O41" s="20">
        <x:f>INDEX(Pregnancy_Physiology_Defaults!G:G,MATCH(C41,Pregnancy_Physiology_Defaults!A:A,0))</x:f>
        <x:v>1.3</x:v>
      </x:c>
      <x:c r="P41" s="20">
        <x:f>INDEX(Pregnancy_Physiology_Defaults!H:H,MATCH(C41,Pregnancy_Physiology_Defaults!A:A,0))</x:f>
        <x:v>1.05</x:v>
      </x:c>
      <x:c r="Q41" s="20">
        <x:f>INDEX(Pregnancy_Physiology_Defaults!E:E,MATCH(C41,Pregnancy_Physiology_Defaults!A:A,0))</x:f>
        <x:v>1.15</x:v>
      </x:c>
      <x:c r="R41" s="20">
        <x:f>INDEX(Pregnancy_Physiology_Defaults!F:F,MATCH(C41,Pregnancy_Physiology_Defaults!A:A,0))</x:f>
        <x:v>0.9</x:v>
      </x:c>
      <x:c r="S41" s="20">
        <x:f>INDEX(Pregnancy_Physiology_Defaults!I:I,MATCH(C41,Pregnancy_Physiology_Defaults!A:A,0))</x:f>
        <x:v>0.5</x:v>
      </x:c>
      <x:c r="T41" s="21">
        <x:f>F41*((H41*O41)+(I41*P41)+MAX(0,1-H41-I41))</x:f>
        <x:v>8.48</x:v>
      </x:c>
      <x:c r="U41" s="21">
        <x:f>G41*Q41*(1+(J41*(1-R41)))</x:f>
        <x:v>35.0175</x:v>
      </x:c>
      <x:c r="V41" s="21">
        <x:f>IFERROR((D41*E41)/T41,"")</x:f>
        <x:v>5.89622641509434</x:v>
      </x:c>
      <x:c r="W41" s="21">
        <x:f>IFERROR(V41/24,"")</x:f>
        <x:v>0.24567610062893083</x:v>
      </x:c>
      <x:c r="X41" s="21">
        <x:f>IFERROR(W41*K41,"")</x:f>
        <x:v>0.22110849056603776</x:v>
      </x:c>
      <x:c r="Y41" s="21">
        <x:f>IFERROR(X41*L41*S41*M41,"")</x:f>
        <x:v>0.11552918632075473</x:v>
      </x:c>
      <x:c r="Z41" s="21">
        <x:f>IFERROR(Y41*N41,"")</x:f>
        <x:v>0.1270821049528302</x:v>
      </x:c>
      <x:c r="AA41" s="21">
        <x:f>Drug_PBPK_Parameters!Y15</x:f>
        <x:v>0.05</x:v>
      </x:c>
      <x:c r="AB41" s="22" t="str">
        <x:f>IF(AA41="","Needs threshold",IF(Z41&gt;=AA41,"Above prototype threshold","Below prototype threshold"))</x:f>
        <x:v>Above prototype threshold</x:v>
      </x:c>
      <x:c r="AC41" s="18" t="str">
        <x:f>Drug_PBPK_Parameters!C15</x:f>
        <x:v>No dedicated pregnancy PBPK identified in quick screen</x:v>
      </x:c>
      <x:c r="AD41" s="18" t="str">
        <x:f>Drug_PBPK_Parameters!Z15</x:f>
        <x:v>Positive</x:v>
      </x:c>
      <x:c r="AE41" s="18">
        <x:f>Drug_PBPK_Parameters!F15</x:f>
        <x:v>0</x:v>
      </x:c>
    </x:row>
    <x:row r="42">
      <x:c r="A42" s="17" t="str">
        <x:f>Drug_PBPK_Parameters!A15</x:f>
        <x:v>DRUG-014</x:v>
      </x:c>
      <x:c r="B42" s="17" t="str">
        <x:f>Drug_PBPK_Parameters!B15</x:f>
        <x:v>Temozolomide</x:v>
      </x:c>
      <x:c r="C42" s="9" t="inlineStr">
        <x:is>
          <x:t xml:space="preserve">T2</x:t>
        </x:is>
      </x:c>
      <x:c r="D42" s="15">
        <x:f>Drug_PBPK_Parameters!H15</x:f>
        <x:v>50</x:v>
      </x:c>
      <x:c r="E42" s="20">
        <x:f>Drug_PBPK_Parameters!J15</x:f>
        <x:v>1</x:v>
      </x:c>
      <x:c r="F42" s="20">
        <x:f>Drug_PBPK_Parameters!L15</x:f>
        <x:v>8</x:v>
      </x:c>
      <x:c r="G42" s="20">
        <x:f>Drug_PBPK_Parameters!M15</x:f>
        <x:v>30</x:v>
      </x:c>
      <x:c r="H42" s="20">
        <x:f>Drug_PBPK_Parameters!S15</x:f>
        <x:v>0.1</x:v>
      </x:c>
      <x:c r="I42" s="20">
        <x:f>Drug_PBPK_Parameters!T15</x:f>
        <x:v>0.6</x:v>
      </x:c>
      <x:c r="J42" s="20">
        <x:f>Drug_PBPK_Parameters!U15</x:f>
        <x:v>0.15</x:v>
      </x:c>
      <x:c r="K42" s="20">
        <x:f>Drug_PBPK_Parameters!N15</x:f>
        <x:v>0.9</x:v>
      </x:c>
      <x:c r="L42" s="20">
        <x:f>Drug_PBPK_Parameters!V15</x:f>
        <x:v>0.95</x:v>
      </x:c>
      <x:c r="M42" s="20">
        <x:f>Drug_PBPK_Parameters!W15</x:f>
        <x:v>1.1</x:v>
      </x:c>
      <x:c r="N42" s="20">
        <x:f>Drug_PBPK_Parameters!X15</x:f>
        <x:v>1.1</x:v>
      </x:c>
      <x:c r="O42" s="20">
        <x:f>INDEX(Pregnancy_Physiology_Defaults!G:G,MATCH(C42,Pregnancy_Physiology_Defaults!A:A,0))</x:f>
        <x:v>1.45</x:v>
      </x:c>
      <x:c r="P42" s="20">
        <x:f>INDEX(Pregnancy_Physiology_Defaults!H:H,MATCH(C42,Pregnancy_Physiology_Defaults!A:A,0))</x:f>
        <x:v>1.1</x:v>
      </x:c>
      <x:c r="Q42" s="20">
        <x:f>INDEX(Pregnancy_Physiology_Defaults!E:E,MATCH(C42,Pregnancy_Physiology_Defaults!A:A,0))</x:f>
        <x:v>1.35</x:v>
      </x:c>
      <x:c r="R42" s="20">
        <x:f>INDEX(Pregnancy_Physiology_Defaults!F:F,MATCH(C42,Pregnancy_Physiology_Defaults!A:A,0))</x:f>
        <x:v>0.8</x:v>
      </x:c>
      <x:c r="S42" s="20">
        <x:f>INDEX(Pregnancy_Physiology_Defaults!I:I,MATCH(C42,Pregnancy_Physiology_Defaults!A:A,0))</x:f>
        <x:v>0.8</x:v>
      </x:c>
      <x:c r="T42" s="21">
        <x:f>F42*((H42*O42)+(I42*P42)+MAX(0,1-H42-I42))</x:f>
        <x:v>8.84</x:v>
      </x:c>
      <x:c r="U42" s="21">
        <x:f>G42*Q42*(1+(J42*(1-R42)))</x:f>
        <x:v>41.715</x:v>
      </x:c>
      <x:c r="V42" s="21">
        <x:f>IFERROR((D42*E42)/T42,"")</x:f>
        <x:v>5.656108597285068</x:v>
      </x:c>
      <x:c r="W42" s="21">
        <x:f>IFERROR(V42/24,"")</x:f>
        <x:v>0.23567119155354452</x:v>
      </x:c>
      <x:c r="X42" s="21">
        <x:f>IFERROR(W42*K42,"")</x:f>
        <x:v>0.21210407239819007</x:v>
      </x:c>
      <x:c r="Y42" s="21">
        <x:f>IFERROR(X42*L42*S42*M42,"")</x:f>
        <x:v>0.17731900452488691</x:v>
      </x:c>
      <x:c r="Z42" s="21">
        <x:f>IFERROR(Y42*N42,"")</x:f>
        <x:v>0.19505090497737562</x:v>
      </x:c>
      <x:c r="AA42" s="21">
        <x:f>Drug_PBPK_Parameters!Y15</x:f>
        <x:v>0.05</x:v>
      </x:c>
      <x:c r="AB42" s="22" t="str">
        <x:f>IF(AA42="","Needs threshold",IF(Z42&gt;=AA42,"Above prototype threshold","Below prototype threshold"))</x:f>
        <x:v>Above prototype threshold</x:v>
      </x:c>
      <x:c r="AC42" s="18" t="str">
        <x:f>Drug_PBPK_Parameters!C15</x:f>
        <x:v>No dedicated pregnancy PBPK identified in quick screen</x:v>
      </x:c>
      <x:c r="AD42" s="18" t="str">
        <x:f>Drug_PBPK_Parameters!Z15</x:f>
        <x:v>Positive</x:v>
      </x:c>
      <x:c r="AE42" s="18">
        <x:f>Drug_PBPK_Parameters!F15</x:f>
        <x:v>0</x:v>
      </x:c>
    </x:row>
    <x:row r="43">
      <x:c r="A43" s="17" t="str">
        <x:f>Drug_PBPK_Parameters!A15</x:f>
        <x:v>DRUG-014</x:v>
      </x:c>
      <x:c r="B43" s="17" t="str">
        <x:f>Drug_PBPK_Parameters!B15</x:f>
        <x:v>Temozolomide</x:v>
      </x:c>
      <x:c r="C43" s="9" t="inlineStr">
        <x:is>
          <x:t xml:space="preserve">T3</x:t>
        </x:is>
      </x:c>
      <x:c r="D43" s="15">
        <x:f>Drug_PBPK_Parameters!H15</x:f>
        <x:v>50</x:v>
      </x:c>
      <x:c r="E43" s="20">
        <x:f>Drug_PBPK_Parameters!J15</x:f>
        <x:v>1</x:v>
      </x:c>
      <x:c r="F43" s="20">
        <x:f>Drug_PBPK_Parameters!L15</x:f>
        <x:v>8</x:v>
      </x:c>
      <x:c r="G43" s="20">
        <x:f>Drug_PBPK_Parameters!M15</x:f>
        <x:v>30</x:v>
      </x:c>
      <x:c r="H43" s="20">
        <x:f>Drug_PBPK_Parameters!S15</x:f>
        <x:v>0.1</x:v>
      </x:c>
      <x:c r="I43" s="20">
        <x:f>Drug_PBPK_Parameters!T15</x:f>
        <x:v>0.6</x:v>
      </x:c>
      <x:c r="J43" s="20">
        <x:f>Drug_PBPK_Parameters!U15</x:f>
        <x:v>0.15</x:v>
      </x:c>
      <x:c r="K43" s="20">
        <x:f>Drug_PBPK_Parameters!N15</x:f>
        <x:v>0.9</x:v>
      </x:c>
      <x:c r="L43" s="20">
        <x:f>Drug_PBPK_Parameters!V15</x:f>
        <x:v>0.95</x:v>
      </x:c>
      <x:c r="M43" s="20">
        <x:f>Drug_PBPK_Parameters!W15</x:f>
        <x:v>1.1</x:v>
      </x:c>
      <x:c r="N43" s="20">
        <x:f>Drug_PBPK_Parameters!X15</x:f>
        <x:v>1.1</x:v>
      </x:c>
      <x:c r="O43" s="20">
        <x:f>INDEX(Pregnancy_Physiology_Defaults!G:G,MATCH(C43,Pregnancy_Physiology_Defaults!A:A,0))</x:f>
        <x:v>1.5</x:v>
      </x:c>
      <x:c r="P43" s="20">
        <x:f>INDEX(Pregnancy_Physiology_Defaults!H:H,MATCH(C43,Pregnancy_Physiology_Defaults!A:A,0))</x:f>
        <x:v>1.15</x:v>
      </x:c>
      <x:c r="Q43" s="20">
        <x:f>INDEX(Pregnancy_Physiology_Defaults!E:E,MATCH(C43,Pregnancy_Physiology_Defaults!A:A,0))</x:f>
        <x:v>1.5</x:v>
      </x:c>
      <x:c r="R43" s="20">
        <x:f>INDEX(Pregnancy_Physiology_Defaults!F:F,MATCH(C43,Pregnancy_Physiology_Defaults!A:A,0))</x:f>
        <x:v>0.7</x:v>
      </x:c>
      <x:c r="S43" s="20">
        <x:f>INDEX(Pregnancy_Physiology_Defaults!I:I,MATCH(C43,Pregnancy_Physiology_Defaults!A:A,0))</x:f>
        <x:v>1</x:v>
      </x:c>
      <x:c r="T43" s="21">
        <x:f>F43*((H43*O43)+(I43*P43)+MAX(0,1-H43-I43))</x:f>
        <x:v>9.120000000000001</x:v>
      </x:c>
      <x:c r="U43" s="21">
        <x:f>G43*Q43*(1+(J43*(1-R43)))</x:f>
        <x:v>47.025</x:v>
      </x:c>
      <x:c r="V43" s="21">
        <x:f>IFERROR((D43*E43)/T43,"")</x:f>
        <x:v>5.482456140350877</x:v>
      </x:c>
      <x:c r="W43" s="21">
        <x:f>IFERROR(V43/24,"")</x:f>
        <x:v>0.22843567251461985</x:v>
      </x:c>
      <x:c r="X43" s="21">
        <x:f>IFERROR(W43*K43,"")</x:f>
        <x:v>0.20559210526315788</x:v>
      </x:c>
      <x:c r="Y43" s="21">
        <x:f>IFERROR(X43*L43*S43*M43,"")</x:f>
        <x:v>0.21484375</x:v>
      </x:c>
      <x:c r="Z43" s="21">
        <x:f>IFERROR(Y43*N43,"")</x:f>
        <x:v>0.23632812500000003</x:v>
      </x:c>
      <x:c r="AA43" s="21">
        <x:f>Drug_PBPK_Parameters!Y15</x:f>
        <x:v>0.05</x:v>
      </x:c>
      <x:c r="AB43" s="22" t="str">
        <x:f>IF(AA43="","Needs threshold",IF(Z43&gt;=AA43,"Above prototype threshold","Below prototype threshold"))</x:f>
        <x:v>Above prototype threshold</x:v>
      </x:c>
      <x:c r="AC43" s="18" t="str">
        <x:f>Drug_PBPK_Parameters!C15</x:f>
        <x:v>No dedicated pregnancy PBPK identified in quick screen</x:v>
      </x:c>
      <x:c r="AD43" s="18" t="str">
        <x:f>Drug_PBPK_Parameters!Z15</x:f>
        <x:v>Positive</x:v>
      </x:c>
      <x:c r="AE43" s="18">
        <x:f>Drug_PBPK_Parameters!F15</x:f>
        <x:v>0</x:v>
      </x:c>
    </x:row>
    <x:row r="44">
      <x:c r="A44" s="17" t="str">
        <x:f>Drug_PBPK_Parameters!A16</x:f>
        <x:v>DRUG-015</x:v>
      </x:c>
      <x:c r="B44" s="17" t="str">
        <x:f>Drug_PBPK_Parameters!B16</x:f>
        <x:v>Thalidomide</x:v>
      </x:c>
      <x:c r="C44" s="9" t="inlineStr">
        <x:is>
          <x:t xml:space="preserve">T1</x:t>
        </x:is>
      </x:c>
      <x:c r="D44" s="15">
        <x:f>Drug_PBPK_Parameters!H16</x:f>
        <x:v>50</x:v>
      </x:c>
      <x:c r="E44" s="20">
        <x:f>Drug_PBPK_Parameters!J16</x:f>
        <x:v>0.85</x:v>
      </x:c>
      <x:c r="F44" s="20">
        <x:f>Drug_PBPK_Parameters!L16</x:f>
        <x:v>6</x:v>
      </x:c>
      <x:c r="G44" s="20">
        <x:f>Drug_PBPK_Parameters!M16</x:f>
        <x:v>75</x:v>
      </x:c>
      <x:c r="H44" s="20">
        <x:f>Drug_PBPK_Parameters!S16</x:f>
        <x:v>0.05</x:v>
      </x:c>
      <x:c r="I44" s="20">
        <x:f>Drug_PBPK_Parameters!T16</x:f>
        <x:v>0.7</x:v>
      </x:c>
      <x:c r="J44" s="20">
        <x:f>Drug_PBPK_Parameters!U16</x:f>
        <x:v>0.2</x:v>
      </x:c>
      <x:c r="K44" s="20">
        <x:f>Drug_PBPK_Parameters!N16</x:f>
        <x:v>0.45</x:v>
      </x:c>
      <x:c r="L44" s="20">
        <x:f>Drug_PBPK_Parameters!V16</x:f>
        <x:v>0.95</x:v>
      </x:c>
      <x:c r="M44" s="20">
        <x:f>Drug_PBPK_Parameters!W16</x:f>
        <x:v>1.15</x:v>
      </x:c>
      <x:c r="N44" s="20">
        <x:f>Drug_PBPK_Parameters!X16</x:f>
        <x:v>1.3</x:v>
      </x:c>
      <x:c r="O44" s="20">
        <x:f>INDEX(Pregnancy_Physiology_Defaults!G:G,MATCH(C44,Pregnancy_Physiology_Defaults!A:A,0))</x:f>
        <x:v>1.3</x:v>
      </x:c>
      <x:c r="P44" s="20">
        <x:f>INDEX(Pregnancy_Physiology_Defaults!H:H,MATCH(C44,Pregnancy_Physiology_Defaults!A:A,0))</x:f>
        <x:v>1.05</x:v>
      </x:c>
      <x:c r="Q44" s="20">
        <x:f>INDEX(Pregnancy_Physiology_Defaults!E:E,MATCH(C44,Pregnancy_Physiology_Defaults!A:A,0))</x:f>
        <x:v>1.15</x:v>
      </x:c>
      <x:c r="R44" s="20">
        <x:f>INDEX(Pregnancy_Physiology_Defaults!F:F,MATCH(C44,Pregnancy_Physiology_Defaults!A:A,0))</x:f>
        <x:v>0.9</x:v>
      </x:c>
      <x:c r="S44" s="20">
        <x:f>INDEX(Pregnancy_Physiology_Defaults!I:I,MATCH(C44,Pregnancy_Physiology_Defaults!A:A,0))</x:f>
        <x:v>0.5</x:v>
      </x:c>
      <x:c r="T44" s="21">
        <x:f>F44*((H44*O44)+(I44*P44)+MAX(0,1-H44-I44))</x:f>
        <x:v>6.300000000000001</x:v>
      </x:c>
      <x:c r="U44" s="21">
        <x:f>G44*Q44*(1+(J44*(1-R44)))</x:f>
        <x:v>87.97500000000001</x:v>
      </x:c>
      <x:c r="V44" s="21">
        <x:f>IFERROR((D44*E44)/T44,"")</x:f>
        <x:v>6.746031746031745</x:v>
      </x:c>
      <x:c r="W44" s="21">
        <x:f>IFERROR(V44/24,"")</x:f>
        <x:v>0.28108465608465605</x:v>
      </x:c>
      <x:c r="X44" s="21">
        <x:f>IFERROR(W44*K44,"")</x:f>
        <x:v>0.12648809523809523</x:v>
      </x:c>
      <x:c r="Y44" s="21">
        <x:f>IFERROR(X44*L44*S44*M44,"")</x:f>
        <x:v>0.06909412202380952</x:v>
      </x:c>
      <x:c r="Z44" s="21">
        <x:f>IFERROR(Y44*N44,"")</x:f>
        <x:v>0.08982235863095238</x:v>
      </x:c>
      <x:c r="AA44" s="21">
        <x:f>Drug_PBPK_Parameters!Y16</x:f>
        <x:v>0.03</x:v>
      </x:c>
      <x:c r="AB44" s="22" t="str">
        <x:f>IF(AA44="","Needs threshold",IF(Z44&gt;=AA44,"Above prototype threshold","Below prototype threshold"))</x:f>
        <x:v>Above prototype threshold</x:v>
      </x:c>
      <x:c r="AC44" s="18" t="str">
        <x:f>Drug_PBPK_Parameters!C16</x:f>
        <x:v>No dedicated pregnancy PBPK identified in quick screen</x:v>
      </x:c>
      <x:c r="AD44" s="18" t="str">
        <x:f>Drug_PBPK_Parameters!Z16</x:f>
        <x:v>Positive</x:v>
      </x:c>
      <x:c r="AE44" s="18">
        <x:f>Drug_PBPK_Parameters!F16</x:f>
        <x:v>0</x:v>
      </x:c>
    </x:row>
    <x:row r="45">
      <x:c r="A45" s="17" t="str">
        <x:f>Drug_PBPK_Parameters!A16</x:f>
        <x:v>DRUG-015</x:v>
      </x:c>
      <x:c r="B45" s="17" t="str">
        <x:f>Drug_PBPK_Parameters!B16</x:f>
        <x:v>Thalidomide</x:v>
      </x:c>
      <x:c r="C45" s="9" t="inlineStr">
        <x:is>
          <x:t xml:space="preserve">T2</x:t>
        </x:is>
      </x:c>
      <x:c r="D45" s="15">
        <x:f>Drug_PBPK_Parameters!H16</x:f>
        <x:v>50</x:v>
      </x:c>
      <x:c r="E45" s="20">
        <x:f>Drug_PBPK_Parameters!J16</x:f>
        <x:v>0.85</x:v>
      </x:c>
      <x:c r="F45" s="20">
        <x:f>Drug_PBPK_Parameters!L16</x:f>
        <x:v>6</x:v>
      </x:c>
      <x:c r="G45" s="20">
        <x:f>Drug_PBPK_Parameters!M16</x:f>
        <x:v>75</x:v>
      </x:c>
      <x:c r="H45" s="20">
        <x:f>Drug_PBPK_Parameters!S16</x:f>
        <x:v>0.05</x:v>
      </x:c>
      <x:c r="I45" s="20">
        <x:f>Drug_PBPK_Parameters!T16</x:f>
        <x:v>0.7</x:v>
      </x:c>
      <x:c r="J45" s="20">
        <x:f>Drug_PBPK_Parameters!U16</x:f>
        <x:v>0.2</x:v>
      </x:c>
      <x:c r="K45" s="20">
        <x:f>Drug_PBPK_Parameters!N16</x:f>
        <x:v>0.45</x:v>
      </x:c>
      <x:c r="L45" s="20">
        <x:f>Drug_PBPK_Parameters!V16</x:f>
        <x:v>0.95</x:v>
      </x:c>
      <x:c r="M45" s="20">
        <x:f>Drug_PBPK_Parameters!W16</x:f>
        <x:v>1.15</x:v>
      </x:c>
      <x:c r="N45" s="20">
        <x:f>Drug_PBPK_Parameters!X16</x:f>
        <x:v>1.3</x:v>
      </x:c>
      <x:c r="O45" s="20">
        <x:f>INDEX(Pregnancy_Physiology_Defaults!G:G,MATCH(C45,Pregnancy_Physiology_Defaults!A:A,0))</x:f>
        <x:v>1.45</x:v>
      </x:c>
      <x:c r="P45" s="20">
        <x:f>INDEX(Pregnancy_Physiology_Defaults!H:H,MATCH(C45,Pregnancy_Physiology_Defaults!A:A,0))</x:f>
        <x:v>1.1</x:v>
      </x:c>
      <x:c r="Q45" s="20">
        <x:f>INDEX(Pregnancy_Physiology_Defaults!E:E,MATCH(C45,Pregnancy_Physiology_Defaults!A:A,0))</x:f>
        <x:v>1.35</x:v>
      </x:c>
      <x:c r="R45" s="20">
        <x:f>INDEX(Pregnancy_Physiology_Defaults!F:F,MATCH(C45,Pregnancy_Physiology_Defaults!A:A,0))</x:f>
        <x:v>0.8</x:v>
      </x:c>
      <x:c r="S45" s="20">
        <x:f>INDEX(Pregnancy_Physiology_Defaults!I:I,MATCH(C45,Pregnancy_Physiology_Defaults!A:A,0))</x:f>
        <x:v>0.8</x:v>
      </x:c>
      <x:c r="T45" s="21">
        <x:f>F45*((H45*O45)+(I45*P45)+MAX(0,1-H45-I45))</x:f>
        <x:v>6.555</x:v>
      </x:c>
      <x:c r="U45" s="21">
        <x:f>G45*Q45*(1+(J45*(1-R45)))</x:f>
        <x:v>105.3</x:v>
      </x:c>
      <x:c r="V45" s="21">
        <x:f>IFERROR((D45*E45)/T45,"")</x:f>
        <x:v>6.483600305110603</x:v>
      </x:c>
      <x:c r="W45" s="21">
        <x:f>IFERROR(V45/24,"")</x:f>
        <x:v>0.27015001271294176</x:v>
      </x:c>
      <x:c r="X45" s="21">
        <x:f>IFERROR(W45*K45,"")</x:f>
        <x:v>0.1215675057208238</x:v>
      </x:c>
      <x:c r="Y45" s="21">
        <x:f>IFERROR(X45*L45*S45*M45,"")</x:f>
        <x:v>0.10624999999999998</x:v>
      </x:c>
      <x:c r="Z45" s="21">
        <x:f>IFERROR(Y45*N45,"")</x:f>
        <x:v>0.13812499999999997</x:v>
      </x:c>
      <x:c r="AA45" s="21">
        <x:f>Drug_PBPK_Parameters!Y16</x:f>
        <x:v>0.03</x:v>
      </x:c>
      <x:c r="AB45" s="22" t="str">
        <x:f>IF(AA45="","Needs threshold",IF(Z45&gt;=AA45,"Above prototype threshold","Below prototype threshold"))</x:f>
        <x:v>Above prototype threshold</x:v>
      </x:c>
      <x:c r="AC45" s="18" t="str">
        <x:f>Drug_PBPK_Parameters!C16</x:f>
        <x:v>No dedicated pregnancy PBPK identified in quick screen</x:v>
      </x:c>
      <x:c r="AD45" s="18" t="str">
        <x:f>Drug_PBPK_Parameters!Z16</x:f>
        <x:v>Positive</x:v>
      </x:c>
      <x:c r="AE45" s="18">
        <x:f>Drug_PBPK_Parameters!F16</x:f>
        <x:v>0</x:v>
      </x:c>
    </x:row>
    <x:row r="46">
      <x:c r="A46" s="17" t="str">
        <x:f>Drug_PBPK_Parameters!A16</x:f>
        <x:v>DRUG-015</x:v>
      </x:c>
      <x:c r="B46" s="17" t="str">
        <x:f>Drug_PBPK_Parameters!B16</x:f>
        <x:v>Thalidomide</x:v>
      </x:c>
      <x:c r="C46" s="9" t="inlineStr">
        <x:is>
          <x:t xml:space="preserve">T3</x:t>
        </x:is>
      </x:c>
      <x:c r="D46" s="15">
        <x:f>Drug_PBPK_Parameters!H16</x:f>
        <x:v>50</x:v>
      </x:c>
      <x:c r="E46" s="20">
        <x:f>Drug_PBPK_Parameters!J16</x:f>
        <x:v>0.85</x:v>
      </x:c>
      <x:c r="F46" s="20">
        <x:f>Drug_PBPK_Parameters!L16</x:f>
        <x:v>6</x:v>
      </x:c>
      <x:c r="G46" s="20">
        <x:f>Drug_PBPK_Parameters!M16</x:f>
        <x:v>75</x:v>
      </x:c>
      <x:c r="H46" s="20">
        <x:f>Drug_PBPK_Parameters!S16</x:f>
        <x:v>0.05</x:v>
      </x:c>
      <x:c r="I46" s="20">
        <x:f>Drug_PBPK_Parameters!T16</x:f>
        <x:v>0.7</x:v>
      </x:c>
      <x:c r="J46" s="20">
        <x:f>Drug_PBPK_Parameters!U16</x:f>
        <x:v>0.2</x:v>
      </x:c>
      <x:c r="K46" s="20">
        <x:f>Drug_PBPK_Parameters!N16</x:f>
        <x:v>0.45</x:v>
      </x:c>
      <x:c r="L46" s="20">
        <x:f>Drug_PBPK_Parameters!V16</x:f>
        <x:v>0.95</x:v>
      </x:c>
      <x:c r="M46" s="20">
        <x:f>Drug_PBPK_Parameters!W16</x:f>
        <x:v>1.15</x:v>
      </x:c>
      <x:c r="N46" s="20">
        <x:f>Drug_PBPK_Parameters!X16</x:f>
        <x:v>1.3</x:v>
      </x:c>
      <x:c r="O46" s="20">
        <x:f>INDEX(Pregnancy_Physiology_Defaults!G:G,MATCH(C46,Pregnancy_Physiology_Defaults!A:A,0))</x:f>
        <x:v>1.5</x:v>
      </x:c>
      <x:c r="P46" s="20">
        <x:f>INDEX(Pregnancy_Physiology_Defaults!H:H,MATCH(C46,Pregnancy_Physiology_Defaults!A:A,0))</x:f>
        <x:v>1.15</x:v>
      </x:c>
      <x:c r="Q46" s="20">
        <x:f>INDEX(Pregnancy_Physiology_Defaults!E:E,MATCH(C46,Pregnancy_Physiology_Defaults!A:A,0))</x:f>
        <x:v>1.5</x:v>
      </x:c>
      <x:c r="R46" s="20">
        <x:f>INDEX(Pregnancy_Physiology_Defaults!F:F,MATCH(C46,Pregnancy_Physiology_Defaults!A:A,0))</x:f>
        <x:v>0.7</x:v>
      </x:c>
      <x:c r="S46" s="20">
        <x:f>INDEX(Pregnancy_Physiology_Defaults!I:I,MATCH(C46,Pregnancy_Physiology_Defaults!A:A,0))</x:f>
        <x:v>1</x:v>
      </x:c>
      <x:c r="T46" s="21">
        <x:f>F46*((H46*O46)+(I46*P46)+MAX(0,1-H46-I46))</x:f>
        <x:v>6.779999999999999</x:v>
      </x:c>
      <x:c r="U46" s="21">
        <x:f>G46*Q46*(1+(J46*(1-R46)))</x:f>
        <x:v>119.25</x:v>
      </x:c>
      <x:c r="V46" s="21">
        <x:f>IFERROR((D46*E46)/T46,"")</x:f>
        <x:v>6.268436578171092</x:v>
      </x:c>
      <x:c r="W46" s="21">
        <x:f>IFERROR(V46/24,"")</x:f>
        <x:v>0.2611848574237955</x:v>
      </x:c>
      <x:c r="X46" s="21">
        <x:f>IFERROR(W46*K46,"")</x:f>
        <x:v>0.11753318584070797</x:v>
      </x:c>
      <x:c r="Y46" s="21">
        <x:f>IFERROR(X46*L46*S46*M46,"")</x:f>
        <x:v>0.12840500553097345</x:v>
      </x:c>
      <x:c r="Z46" s="21">
        <x:f>IFERROR(Y46*N46,"")</x:f>
        <x:v>0.1669265071902655</x:v>
      </x:c>
      <x:c r="AA46" s="21">
        <x:f>Drug_PBPK_Parameters!Y16</x:f>
        <x:v>0.03</x:v>
      </x:c>
      <x:c r="AB46" s="22" t="str">
        <x:f>IF(AA46="","Needs threshold",IF(Z46&gt;=AA46,"Above prototype threshold","Below prototype threshold"))</x:f>
        <x:v>Above prototype threshold</x:v>
      </x:c>
      <x:c r="AC46" s="18" t="str">
        <x:f>Drug_PBPK_Parameters!C16</x:f>
        <x:v>No dedicated pregnancy PBPK identified in quick screen</x:v>
      </x:c>
      <x:c r="AD46" s="18" t="str">
        <x:f>Drug_PBPK_Parameters!Z16</x:f>
        <x:v>Positive</x:v>
      </x:c>
      <x:c r="AE46" s="18">
        <x:f>Drug_PBPK_Parameters!F16</x:f>
        <x:v>0</x:v>
      </x:c>
    </x:row>
    <x:row r="47">
      <x:c r="A47" s="17" t="str">
        <x:f>Drug_PBPK_Parameters!A17</x:f>
        <x:v>DRUG-016</x:v>
      </x:c>
      <x:c r="B47" s="17" t="str">
        <x:f>Drug_PBPK_Parameters!B17</x:f>
        <x:v>Valproic Acid sodium salt</x:v>
      </x:c>
      <x:c r="C47" s="9" t="inlineStr">
        <x:is>
          <x:t xml:space="preserve">T1</x:t>
        </x:is>
      </x:c>
      <x:c r="D47" s="15">
        <x:f>Drug_PBPK_Parameters!H17</x:f>
        <x:v>500</x:v>
      </x:c>
      <x:c r="E47" s="20">
        <x:f>Drug_PBPK_Parameters!J17</x:f>
        <x:v>1</x:v>
      </x:c>
      <x:c r="F47" s="20">
        <x:f>Drug_PBPK_Parameters!L17</x:f>
        <x:v>7</x:v>
      </x:c>
      <x:c r="G47" s="20">
        <x:f>Drug_PBPK_Parameters!M17</x:f>
        <x:v>14</x:v>
      </x:c>
      <x:c r="H47" s="20">
        <x:f>Drug_PBPK_Parameters!S17</x:f>
        <x:v>0.1</x:v>
      </x:c>
      <x:c r="I47" s="20">
        <x:f>Drug_PBPK_Parameters!T17</x:f>
        <x:v>0.8</x:v>
      </x:c>
      <x:c r="J47" s="20">
        <x:f>Drug_PBPK_Parameters!U17</x:f>
        <x:v>0.5</x:v>
      </x:c>
      <x:c r="K47" s="20">
        <x:f>Drug_PBPK_Parameters!N17</x:f>
        <x:v>0.1</x:v>
      </x:c>
      <x:c r="L47" s="20">
        <x:f>Drug_PBPK_Parameters!V17</x:f>
        <x:v>0.9</x:v>
      </x:c>
      <x:c r="M47" s="20">
        <x:f>Drug_PBPK_Parameters!W17</x:f>
        <x:v>1.1</x:v>
      </x:c>
      <x:c r="N47" s="20">
        <x:f>Drug_PBPK_Parameters!X17</x:f>
        <x:v>1.2</x:v>
      </x:c>
      <x:c r="O47" s="20">
        <x:f>INDEX(Pregnancy_Physiology_Defaults!G:G,MATCH(C47,Pregnancy_Physiology_Defaults!A:A,0))</x:f>
        <x:v>1.3</x:v>
      </x:c>
      <x:c r="P47" s="20">
        <x:f>INDEX(Pregnancy_Physiology_Defaults!H:H,MATCH(C47,Pregnancy_Physiology_Defaults!A:A,0))</x:f>
        <x:v>1.05</x:v>
      </x:c>
      <x:c r="Q47" s="20">
        <x:f>INDEX(Pregnancy_Physiology_Defaults!E:E,MATCH(C47,Pregnancy_Physiology_Defaults!A:A,0))</x:f>
        <x:v>1.15</x:v>
      </x:c>
      <x:c r="R47" s="20">
        <x:f>INDEX(Pregnancy_Physiology_Defaults!F:F,MATCH(C47,Pregnancy_Physiology_Defaults!A:A,0))</x:f>
        <x:v>0.9</x:v>
      </x:c>
      <x:c r="S47" s="20">
        <x:f>INDEX(Pregnancy_Physiology_Defaults!I:I,MATCH(C47,Pregnancy_Physiology_Defaults!A:A,0))</x:f>
        <x:v>0.5</x:v>
      </x:c>
      <x:c r="T47" s="21">
        <x:f>F47*((H47*O47)+(I47*P47)+MAX(0,1-H47-I47))</x:f>
        <x:v>7.49</x:v>
      </x:c>
      <x:c r="U47" s="21">
        <x:f>G47*Q47*(1+(J47*(1-R47)))</x:f>
        <x:v>16.904999999999998</x:v>
      </x:c>
      <x:c r="V47" s="21">
        <x:f>IFERROR((D47*E47)/T47,"")</x:f>
        <x:v>66.75567423230974</x:v>
      </x:c>
      <x:c r="W47" s="21">
        <x:f>IFERROR(V47/24,"")</x:f>
        <x:v>2.7814864263462393</x:v>
      </x:c>
      <x:c r="X47" s="21">
        <x:f>IFERROR(W47*K47,"")</x:f>
        <x:v>0.27814864263462397</x:v>
      </x:c>
      <x:c r="Y47" s="21">
        <x:f>IFERROR(X47*L47*S47*M47,"")</x:f>
        <x:v>0.13768357810413887</x:v>
      </x:c>
      <x:c r="Z47" s="21">
        <x:f>IFERROR(Y47*N47,"")</x:f>
        <x:v>0.16522029372496663</x:v>
      </x:c>
      <x:c r="AA47" s="21">
        <x:f>Drug_PBPK_Parameters!Y17</x:f>
        <x:v>0.08</x:v>
      </x:c>
      <x:c r="AB47" s="22" t="str">
        <x:f>IF(AA47="","Needs threshold",IF(Z47&gt;=AA47,"Above prototype threshold","Below prototype threshold"))</x:f>
        <x:v>Above prototype threshold</x:v>
      </x:c>
      <x:c r="AC47" s="18" t="str">
        <x:f>Drug_PBPK_Parameters!C17</x:f>
        <x:v>Developmental tox PK/IVIVE only</x:v>
      </x:c>
      <x:c r="AD47" s="18" t="str">
        <x:f>Drug_PBPK_Parameters!Z17</x:f>
        <x:v>Positive</x:v>
      </x:c>
      <x:c r="AE47" s="18" t="str">
        <x:f>Drug_PBPK_Parameters!F17</x:f>
        <x:v>https://pubmed.ncbi.nlm.nih.gov/35532929</x:v>
      </x:c>
    </x:row>
    <x:row r="48">
      <x:c r="A48" s="17" t="str">
        <x:f>Drug_PBPK_Parameters!A17</x:f>
        <x:v>DRUG-016</x:v>
      </x:c>
      <x:c r="B48" s="17" t="str">
        <x:f>Drug_PBPK_Parameters!B17</x:f>
        <x:v>Valproic Acid sodium salt</x:v>
      </x:c>
      <x:c r="C48" s="9" t="inlineStr">
        <x:is>
          <x:t xml:space="preserve">T2</x:t>
        </x:is>
      </x:c>
      <x:c r="D48" s="15">
        <x:f>Drug_PBPK_Parameters!H17</x:f>
        <x:v>500</x:v>
      </x:c>
      <x:c r="E48" s="20">
        <x:f>Drug_PBPK_Parameters!J17</x:f>
        <x:v>1</x:v>
      </x:c>
      <x:c r="F48" s="20">
        <x:f>Drug_PBPK_Parameters!L17</x:f>
        <x:v>7</x:v>
      </x:c>
      <x:c r="G48" s="20">
        <x:f>Drug_PBPK_Parameters!M17</x:f>
        <x:v>14</x:v>
      </x:c>
      <x:c r="H48" s="20">
        <x:f>Drug_PBPK_Parameters!S17</x:f>
        <x:v>0.1</x:v>
      </x:c>
      <x:c r="I48" s="20">
        <x:f>Drug_PBPK_Parameters!T17</x:f>
        <x:v>0.8</x:v>
      </x:c>
      <x:c r="J48" s="20">
        <x:f>Drug_PBPK_Parameters!U17</x:f>
        <x:v>0.5</x:v>
      </x:c>
      <x:c r="K48" s="20">
        <x:f>Drug_PBPK_Parameters!N17</x:f>
        <x:v>0.1</x:v>
      </x:c>
      <x:c r="L48" s="20">
        <x:f>Drug_PBPK_Parameters!V17</x:f>
        <x:v>0.9</x:v>
      </x:c>
      <x:c r="M48" s="20">
        <x:f>Drug_PBPK_Parameters!W17</x:f>
        <x:v>1.1</x:v>
      </x:c>
      <x:c r="N48" s="20">
        <x:f>Drug_PBPK_Parameters!X17</x:f>
        <x:v>1.2</x:v>
      </x:c>
      <x:c r="O48" s="20">
        <x:f>INDEX(Pregnancy_Physiology_Defaults!G:G,MATCH(C48,Pregnancy_Physiology_Defaults!A:A,0))</x:f>
        <x:v>1.45</x:v>
      </x:c>
      <x:c r="P48" s="20">
        <x:f>INDEX(Pregnancy_Physiology_Defaults!H:H,MATCH(C48,Pregnancy_Physiology_Defaults!A:A,0))</x:f>
        <x:v>1.1</x:v>
      </x:c>
      <x:c r="Q48" s="20">
        <x:f>INDEX(Pregnancy_Physiology_Defaults!E:E,MATCH(C48,Pregnancy_Physiology_Defaults!A:A,0))</x:f>
        <x:v>1.35</x:v>
      </x:c>
      <x:c r="R48" s="20">
        <x:f>INDEX(Pregnancy_Physiology_Defaults!F:F,MATCH(C48,Pregnancy_Physiology_Defaults!A:A,0))</x:f>
        <x:v>0.8</x:v>
      </x:c>
      <x:c r="S48" s="20">
        <x:f>INDEX(Pregnancy_Physiology_Defaults!I:I,MATCH(C48,Pregnancy_Physiology_Defaults!A:A,0))</x:f>
        <x:v>0.8</x:v>
      </x:c>
      <x:c r="T48" s="21">
        <x:f>F48*((H48*O48)+(I48*P48)+MAX(0,1-H48-I48))</x:f>
        <x:v>7.875</x:v>
      </x:c>
      <x:c r="U48" s="21">
        <x:f>G48*Q48*(1+(J48*(1-R48)))</x:f>
        <x:v>20.790000000000003</x:v>
      </x:c>
      <x:c r="V48" s="21">
        <x:f>IFERROR((D48*E48)/T48,"")</x:f>
        <x:v>63.492063492063494</x:v>
      </x:c>
      <x:c r="W48" s="21">
        <x:f>IFERROR(V48/24,"")</x:f>
        <x:v>2.6455026455026456</x:v>
      </x:c>
      <x:c r="X48" s="21">
        <x:f>IFERROR(W48*K48,"")</x:f>
        <x:v>0.2645502645502646</x:v>
      </x:c>
      <x:c r="Y48" s="21">
        <x:f>IFERROR(X48*L48*S48*M48,"")</x:f>
        <x:v>0.20952380952380958</x:v>
      </x:c>
      <x:c r="Z48" s="21">
        <x:f>IFERROR(Y48*N48,"")</x:f>
        <x:v>0.2514285714285715</x:v>
      </x:c>
      <x:c r="AA48" s="21">
        <x:f>Drug_PBPK_Parameters!Y17</x:f>
        <x:v>0.08</x:v>
      </x:c>
      <x:c r="AB48" s="22" t="str">
        <x:f>IF(AA48="","Needs threshold",IF(Z48&gt;=AA48,"Above prototype threshold","Below prototype threshold"))</x:f>
        <x:v>Above prototype threshold</x:v>
      </x:c>
      <x:c r="AC48" s="18" t="str">
        <x:f>Drug_PBPK_Parameters!C17</x:f>
        <x:v>Developmental tox PK/IVIVE only</x:v>
      </x:c>
      <x:c r="AD48" s="18" t="str">
        <x:f>Drug_PBPK_Parameters!Z17</x:f>
        <x:v>Positive</x:v>
      </x:c>
      <x:c r="AE48" s="18" t="str">
        <x:f>Drug_PBPK_Parameters!F17</x:f>
        <x:v>https://pubmed.ncbi.nlm.nih.gov/35532929</x:v>
      </x:c>
    </x:row>
    <x:row r="49">
      <x:c r="A49" s="17" t="str">
        <x:f>Drug_PBPK_Parameters!A17</x:f>
        <x:v>DRUG-016</x:v>
      </x:c>
      <x:c r="B49" s="17" t="str">
        <x:f>Drug_PBPK_Parameters!B17</x:f>
        <x:v>Valproic Acid sodium salt</x:v>
      </x:c>
      <x:c r="C49" s="9" t="inlineStr">
        <x:is>
          <x:t xml:space="preserve">T3</x:t>
        </x:is>
      </x:c>
      <x:c r="D49" s="15">
        <x:f>Drug_PBPK_Parameters!H17</x:f>
        <x:v>500</x:v>
      </x:c>
      <x:c r="E49" s="20">
        <x:f>Drug_PBPK_Parameters!J17</x:f>
        <x:v>1</x:v>
      </x:c>
      <x:c r="F49" s="20">
        <x:f>Drug_PBPK_Parameters!L17</x:f>
        <x:v>7</x:v>
      </x:c>
      <x:c r="G49" s="20">
        <x:f>Drug_PBPK_Parameters!M17</x:f>
        <x:v>14</x:v>
      </x:c>
      <x:c r="H49" s="20">
        <x:f>Drug_PBPK_Parameters!S17</x:f>
        <x:v>0.1</x:v>
      </x:c>
      <x:c r="I49" s="20">
        <x:f>Drug_PBPK_Parameters!T17</x:f>
        <x:v>0.8</x:v>
      </x:c>
      <x:c r="J49" s="20">
        <x:f>Drug_PBPK_Parameters!U17</x:f>
        <x:v>0.5</x:v>
      </x:c>
      <x:c r="K49" s="20">
        <x:f>Drug_PBPK_Parameters!N17</x:f>
        <x:v>0.1</x:v>
      </x:c>
      <x:c r="L49" s="20">
        <x:f>Drug_PBPK_Parameters!V17</x:f>
        <x:v>0.9</x:v>
      </x:c>
      <x:c r="M49" s="20">
        <x:f>Drug_PBPK_Parameters!W17</x:f>
        <x:v>1.1</x:v>
      </x:c>
      <x:c r="N49" s="20">
        <x:f>Drug_PBPK_Parameters!X17</x:f>
        <x:v>1.2</x:v>
      </x:c>
      <x:c r="O49" s="20">
        <x:f>INDEX(Pregnancy_Physiology_Defaults!G:G,MATCH(C49,Pregnancy_Physiology_Defaults!A:A,0))</x:f>
        <x:v>1.5</x:v>
      </x:c>
      <x:c r="P49" s="20">
        <x:f>INDEX(Pregnancy_Physiology_Defaults!H:H,MATCH(C49,Pregnancy_Physiology_Defaults!A:A,0))</x:f>
        <x:v>1.15</x:v>
      </x:c>
      <x:c r="Q49" s="20">
        <x:f>INDEX(Pregnancy_Physiology_Defaults!E:E,MATCH(C49,Pregnancy_Physiology_Defaults!A:A,0))</x:f>
        <x:v>1.5</x:v>
      </x:c>
      <x:c r="R49" s="20">
        <x:f>INDEX(Pregnancy_Physiology_Defaults!F:F,MATCH(C49,Pregnancy_Physiology_Defaults!A:A,0))</x:f>
        <x:v>0.7</x:v>
      </x:c>
      <x:c r="S49" s="20">
        <x:f>INDEX(Pregnancy_Physiology_Defaults!I:I,MATCH(C49,Pregnancy_Physiology_Defaults!A:A,0))</x:f>
        <x:v>1</x:v>
      </x:c>
      <x:c r="T49" s="21">
        <x:f>F49*((H49*O49)+(I49*P49)+MAX(0,1-H49-I49))</x:f>
        <x:v>8.19</x:v>
      </x:c>
      <x:c r="U49" s="21">
        <x:f>G49*Q49*(1+(J49*(1-R49)))</x:f>
        <x:v>24.15</x:v>
      </x:c>
      <x:c r="V49" s="21">
        <x:f>IFERROR((D49*E49)/T49,"")</x:f>
        <x:v>61.05006105006105</x:v>
      </x:c>
      <x:c r="W49" s="21">
        <x:f>IFERROR(V49/24,"")</x:f>
        <x:v>2.543752543752544</x:v>
      </x:c>
      <x:c r="X49" s="21">
        <x:f>IFERROR(W49*K49,"")</x:f>
        <x:v>0.2543752543752544</x:v>
      </x:c>
      <x:c r="Y49" s="21">
        <x:f>IFERROR(X49*L49*S49*M49,"")</x:f>
        <x:v>0.2518315018315019</x:v>
      </x:c>
      <x:c r="Z49" s="21">
        <x:f>IFERROR(Y49*N49,"")</x:f>
        <x:v>0.30219780219780223</x:v>
      </x:c>
      <x:c r="AA49" s="21">
        <x:f>Drug_PBPK_Parameters!Y17</x:f>
        <x:v>0.08</x:v>
      </x:c>
      <x:c r="AB49" s="22" t="str">
        <x:f>IF(AA49="","Needs threshold",IF(Z49&gt;=AA49,"Above prototype threshold","Below prototype threshold"))</x:f>
        <x:v>Above prototype threshold</x:v>
      </x:c>
      <x:c r="AC49" s="18" t="str">
        <x:f>Drug_PBPK_Parameters!C17</x:f>
        <x:v>Developmental tox PK/IVIVE only</x:v>
      </x:c>
      <x:c r="AD49" s="18" t="str">
        <x:f>Drug_PBPK_Parameters!Z17</x:f>
        <x:v>Positive</x:v>
      </x:c>
      <x:c r="AE49" s="18" t="str">
        <x:f>Drug_PBPK_Parameters!F17</x:f>
        <x:v>https://pubmed.ncbi.nlm.nih.gov/35532929</x:v>
      </x:c>
    </x:row>
  </x:sheetData>
  <x:pageMargins left="0.7" right="0.7" top="0.75" bottom="0.75" header="0.3" footer="0.3"/>
  <x:tableParts count="1">
    <x:tablePart xmlns:r="http://schemas.openxmlformats.org/officeDocument/2006/relationships" r:id="R4a6acde8fbef4376"/>
  </x:tableParts>
</x:worksheet>
</file>